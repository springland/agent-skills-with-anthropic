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aw Data" sheetId="2" state="visible" r:id="rId2"/>
    <sheet name="Funnel Analysis" sheetId="3" state="visible" r:id="rId3"/>
    <sheet name="Efficienc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666666"/>
      <sz val="10"/>
    </font>
    <font>
      <name val="Arial"/>
      <b val="1"/>
      <sz val="11"/>
    </font>
    <font>
      <name val="Arial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2" customWidth="1" min="4" max="4"/>
    <col width="21" customWidth="1" min="5" max="5"/>
    <col width="12" customWidth="1" min="6" max="6"/>
    <col width="23" customWidth="1" min="7" max="7"/>
    <col width="15" customWidth="1" min="8" max="8"/>
  </cols>
  <sheetData>
    <row r="1">
      <c r="A1" s="1" t="inlineStr">
        <is>
          <t>Campaign Performance Report — Week 1 (Dec 9–15, 2024)</t>
        </is>
      </c>
    </row>
    <row r="2"/>
    <row r="3">
      <c r="A3" s="2" t="inlineStr">
        <is>
          <t>Key Findings</t>
        </is>
      </c>
    </row>
    <row r="4"/>
    <row r="5">
      <c r="A5" s="3" t="inlineStr">
        <is>
          <t>Total Revenue: $631,976  |  Total Ad Spend: $104,682  |  Net Profit: $255,518</t>
        </is>
      </c>
    </row>
    <row r="6">
      <c r="A6" s="3" t="inlineStr">
        <is>
          <t>Email is the profit engine — 56.4% margin, $0.79 CPA, contributing $133,943 in net profit.</t>
        </is>
      </c>
    </row>
    <row r="7">
      <c r="A7" s="3" t="inlineStr">
        <is>
          <t>Google_Ads is the best paid channel — 6.05x ROAS, $17.07 CPA, $69,377 net profit.</t>
        </is>
      </c>
    </row>
    <row r="8">
      <c r="A8" s="3" t="inlineStr">
        <is>
          <t>Facebook_Ads clears all targets (4.51x ROAS) but prospecting underperforms. Retargeting at 8.16x ROAS carries the channel.</t>
        </is>
      </c>
    </row>
    <row r="9">
      <c r="A9" s="3" t="inlineStr">
        <is>
          <t>TikTok_Ads is the ONLY money-losing channel — 1.54x ROAS, $57.29 CPA, −$5,296 net profit on highest paid spend ($37,983).</t>
        </is>
      </c>
    </row>
    <row r="10"/>
    <row r="11">
      <c r="A11" s="2" t="inlineStr">
        <is>
          <t>Channel Performance Summary</t>
        </is>
      </c>
    </row>
    <row r="12">
      <c r="A12" s="4" t="inlineStr">
        <is>
          <t>Channel</t>
        </is>
      </c>
      <c r="B12" s="4" t="inlineStr">
        <is>
          <t>Revenue</t>
        </is>
      </c>
      <c r="C12" s="4" t="inlineStr">
        <is>
          <t>Spend</t>
        </is>
      </c>
      <c r="D12" s="4" t="inlineStr">
        <is>
          <t>Orders</t>
        </is>
      </c>
      <c r="E12" s="4" t="inlineStr">
        <is>
          <t>ROAS</t>
        </is>
      </c>
      <c r="F12" s="4" t="inlineStr">
        <is>
          <t>CPA</t>
        </is>
      </c>
      <c r="G12" s="4" t="inlineStr">
        <is>
          <t>Net Profit</t>
        </is>
      </c>
      <c r="H12" s="4" t="inlineStr">
        <is>
          <t>Margin</t>
        </is>
      </c>
    </row>
    <row r="13">
      <c r="A13" s="5" t="inlineStr">
        <is>
          <t>Email</t>
        </is>
      </c>
      <c r="B13" s="6" t="n">
        <v>237630.53</v>
      </c>
      <c r="C13" s="6" t="n">
        <v>1836.76</v>
      </c>
      <c r="D13" s="7" t="n">
        <v>2335</v>
      </c>
      <c r="E13" s="8" t="inlineStr">
        <is>
          <t>129.37x</t>
        </is>
      </c>
      <c r="F13" s="8" t="inlineStr">
        <is>
          <t>$0.79</t>
        </is>
      </c>
      <c r="G13" s="9" t="n">
        <v>133943.0845</v>
      </c>
      <c r="H13" s="8" t="inlineStr">
        <is>
          <t>56.4%</t>
        </is>
      </c>
    </row>
    <row r="14">
      <c r="A14" s="7" t="inlineStr">
        <is>
          <t>Google_Ads</t>
        </is>
      </c>
      <c r="B14" s="6" t="n">
        <v>170414.87</v>
      </c>
      <c r="C14" s="6" t="n">
        <v>28184.51</v>
      </c>
      <c r="D14" s="7" t="n">
        <v>1651</v>
      </c>
      <c r="E14" s="8" t="inlineStr">
        <is>
          <t>6.05x</t>
        </is>
      </c>
      <c r="F14" s="8" t="inlineStr">
        <is>
          <t>$17.07</t>
        </is>
      </c>
      <c r="G14" s="9" t="n">
        <v>69377.15549999999</v>
      </c>
      <c r="H14" s="8" t="inlineStr">
        <is>
          <t>40.7%</t>
        </is>
      </c>
    </row>
    <row r="15">
      <c r="A15" s="7" t="inlineStr">
        <is>
          <t>Facebook_Ads</t>
        </is>
      </c>
      <c r="B15" s="6" t="n">
        <v>165482.75</v>
      </c>
      <c r="C15" s="6" t="n">
        <v>36678.01000000001</v>
      </c>
      <c r="D15" s="7" t="n">
        <v>1674</v>
      </c>
      <c r="E15" s="8" t="inlineStr">
        <is>
          <t>4.51x</t>
        </is>
      </c>
      <c r="F15" s="8" t="inlineStr">
        <is>
          <t>$21.91</t>
        </is>
      </c>
      <c r="G15" s="9" t="n">
        <v>57493.77750000001</v>
      </c>
      <c r="H15" s="8" t="inlineStr">
        <is>
          <t>34.7%</t>
        </is>
      </c>
    </row>
    <row r="16">
      <c r="A16" s="7" t="inlineStr">
        <is>
          <t>TikTok_Ads</t>
        </is>
      </c>
      <c r="B16" s="6" t="n">
        <v>58447.71</v>
      </c>
      <c r="C16" s="6" t="n">
        <v>37982.97</v>
      </c>
      <c r="D16" s="7" t="n">
        <v>663</v>
      </c>
      <c r="E16" s="10" t="inlineStr">
        <is>
          <t>1.54x</t>
        </is>
      </c>
      <c r="F16" s="10" t="inlineStr">
        <is>
          <t>$57.29</t>
        </is>
      </c>
      <c r="G16" s="11" t="n">
        <v>-5295.958500000001</v>
      </c>
      <c r="H16" s="10" t="inlineStr">
        <is>
          <t>-9.1%</t>
        </is>
      </c>
    </row>
    <row r="17">
      <c r="A17" s="5" t="inlineStr">
        <is>
          <t>TOTAL</t>
        </is>
      </c>
      <c r="B17" s="12" t="n">
        <v>631975.86</v>
      </c>
      <c r="C17" s="12" t="n">
        <v>104682.25</v>
      </c>
      <c r="D17" s="5" t="n">
        <v>6323</v>
      </c>
      <c r="E17" s="5" t="inlineStr">
        <is>
          <t>6.04x</t>
        </is>
      </c>
      <c r="F17" s="5" t="inlineStr">
        <is>
          <t>$16.56</t>
        </is>
      </c>
      <c r="G17" s="12" t="n">
        <v>255518.059</v>
      </c>
      <c r="H17" s="5" t="inlineStr">
        <is>
          <t>40.4%</t>
        </is>
      </c>
    </row>
    <row r="18"/>
    <row r="19">
      <c r="A19" s="2" t="inlineStr">
        <is>
          <t>Budget Reallocation Proposal</t>
        </is>
      </c>
    </row>
    <row r="20">
      <c r="A20" s="4" t="inlineStr">
        <is>
          <t>Channel</t>
        </is>
      </c>
      <c r="B20" s="4" t="inlineStr">
        <is>
          <t>ROAS</t>
        </is>
      </c>
      <c r="C20" s="4" t="inlineStr">
        <is>
          <t>% of 4.0x Target</t>
        </is>
      </c>
      <c r="D20" s="4" t="inlineStr">
        <is>
          <t>CPA</t>
        </is>
      </c>
      <c r="E20" s="4" t="inlineStr">
        <is>
          <t>% of $50 Max</t>
        </is>
      </c>
      <c r="F20" s="4" t="inlineStr">
        <is>
          <t>Net Profit</t>
        </is>
      </c>
      <c r="G20" s="4" t="inlineStr">
        <is>
          <t>Classification</t>
        </is>
      </c>
      <c r="H20" s="4" t="inlineStr">
        <is>
          <t>Budget Change</t>
        </is>
      </c>
    </row>
    <row r="21">
      <c r="A21" s="7" t="inlineStr">
        <is>
          <t>Email</t>
        </is>
      </c>
      <c r="B21" s="7" t="inlineStr">
        <is>
          <t>129.37x</t>
        </is>
      </c>
      <c r="C21" s="7" t="inlineStr">
        <is>
          <t>3234%</t>
        </is>
      </c>
      <c r="D21" s="7" t="inlineStr">
        <is>
          <t>$0.79</t>
        </is>
      </c>
      <c r="E21" s="7" t="inlineStr">
        <is>
          <t>2%</t>
        </is>
      </c>
      <c r="F21" s="8" t="n">
        <v>133943</v>
      </c>
      <c r="G21" s="8" t="inlineStr">
        <is>
          <t>INCREASE (+15%)</t>
        </is>
      </c>
      <c r="H21" s="7" t="inlineStr">
        <is>
          <t>+$276</t>
        </is>
      </c>
    </row>
    <row r="22">
      <c r="A22" s="7" t="inlineStr">
        <is>
          <t>Google_Ads</t>
        </is>
      </c>
      <c r="B22" s="7" t="inlineStr">
        <is>
          <t>6.05x</t>
        </is>
      </c>
      <c r="C22" s="7" t="inlineStr">
        <is>
          <t>151%</t>
        </is>
      </c>
      <c r="D22" s="7" t="inlineStr">
        <is>
          <t>$17.07</t>
        </is>
      </c>
      <c r="E22" s="7" t="inlineStr">
        <is>
          <t>34%</t>
        </is>
      </c>
      <c r="F22" s="8" t="n">
        <v>69377</v>
      </c>
      <c r="G22" s="8" t="inlineStr">
        <is>
          <t>INCREASE (+15%)</t>
        </is>
      </c>
      <c r="H22" s="7" t="inlineStr">
        <is>
          <t>+$4,228</t>
        </is>
      </c>
    </row>
    <row r="23">
      <c r="A23" s="7" t="inlineStr">
        <is>
          <t>Facebook_Ads</t>
        </is>
      </c>
      <c r="B23" s="7" t="inlineStr">
        <is>
          <t>4.51x</t>
        </is>
      </c>
      <c r="C23" s="7" t="inlineStr">
        <is>
          <t>113%</t>
        </is>
      </c>
      <c r="D23" s="7" t="inlineStr">
        <is>
          <t>$21.91</t>
        </is>
      </c>
      <c r="E23" s="7" t="inlineStr">
        <is>
          <t>44%</t>
        </is>
      </c>
      <c r="F23" s="8" t="n">
        <v>57494</v>
      </c>
      <c r="G23" s="13" t="inlineStr">
        <is>
          <t>MAINTAIN (0%)</t>
        </is>
      </c>
      <c r="H23" s="7" t="inlineStr">
        <is>
          <t>$0</t>
        </is>
      </c>
    </row>
    <row r="24">
      <c r="A24" s="7" t="inlineStr">
        <is>
          <t>TikTok_Ads</t>
        </is>
      </c>
      <c r="B24" s="7" t="inlineStr">
        <is>
          <t>1.54x</t>
        </is>
      </c>
      <c r="C24" s="7" t="inlineStr">
        <is>
          <t>39%</t>
        </is>
      </c>
      <c r="D24" s="7" t="inlineStr">
        <is>
          <t>$57.29</t>
        </is>
      </c>
      <c r="E24" s="7" t="inlineStr">
        <is>
          <t>115%</t>
        </is>
      </c>
      <c r="F24" s="10" t="n">
        <v>-5296</v>
      </c>
      <c r="G24" s="10" t="inlineStr">
        <is>
          <t>DECREASE_HEAVY (−45%)</t>
        </is>
      </c>
      <c r="H24" s="7" t="inlineStr">
        <is>
          <t>−$17,092</t>
        </is>
      </c>
    </row>
    <row r="25"/>
    <row r="26">
      <c r="A26" s="2" t="inlineStr">
        <is>
          <t>New Weekly Budget</t>
        </is>
      </c>
    </row>
    <row r="27">
      <c r="A27" s="4" t="inlineStr">
        <is>
          <t>Channel</t>
        </is>
      </c>
      <c r="B27" s="4" t="inlineStr">
        <is>
          <t>Current Budget</t>
        </is>
      </c>
      <c r="C27" s="4" t="inlineStr">
        <is>
          <t>Change</t>
        </is>
      </c>
      <c r="D27" s="4" t="inlineStr">
        <is>
          <t>New Budget</t>
        </is>
      </c>
      <c r="E27" s="4" t="inlineStr">
        <is>
          <t>Classification</t>
        </is>
      </c>
    </row>
    <row r="28">
      <c r="A28" s="7" t="inlineStr">
        <is>
          <t>TikTok_Ads</t>
        </is>
      </c>
      <c r="B28" s="7" t="inlineStr">
        <is>
          <t>$37,983</t>
        </is>
      </c>
      <c r="C28" s="7" t="inlineStr">
        <is>
          <t>−$17,092</t>
        </is>
      </c>
      <c r="D28" s="7" t="inlineStr">
        <is>
          <t>$20,890</t>
        </is>
      </c>
      <c r="E28" s="10" t="inlineStr">
        <is>
          <t>DECREASE_HEAVY</t>
        </is>
      </c>
    </row>
    <row r="29">
      <c r="A29" s="7" t="inlineStr">
        <is>
          <t>Google_Ads</t>
        </is>
      </c>
      <c r="B29" s="7" t="inlineStr">
        <is>
          <t>$28,185</t>
        </is>
      </c>
      <c r="C29" s="7" t="inlineStr">
        <is>
          <t>+$4,228</t>
        </is>
      </c>
      <c r="D29" s="7" t="inlineStr">
        <is>
          <t>$32,412</t>
        </is>
      </c>
      <c r="E29" s="8" t="inlineStr">
        <is>
          <t>INCREASE</t>
        </is>
      </c>
    </row>
    <row r="30">
      <c r="A30" s="7" t="inlineStr">
        <is>
          <t>Email</t>
        </is>
      </c>
      <c r="B30" s="7" t="inlineStr">
        <is>
          <t>$1,837</t>
        </is>
      </c>
      <c r="C30" s="7" t="inlineStr">
        <is>
          <t>+$276</t>
        </is>
      </c>
      <c r="D30" s="7" t="inlineStr">
        <is>
          <t>$2,112</t>
        </is>
      </c>
      <c r="E30" s="8" t="inlineStr">
        <is>
          <t>INCREASE</t>
        </is>
      </c>
    </row>
    <row r="31">
      <c r="A31" s="7" t="inlineStr">
        <is>
          <t>Facebook_Ads</t>
        </is>
      </c>
      <c r="B31" s="7" t="inlineStr">
        <is>
          <t>$36,678</t>
        </is>
      </c>
      <c r="C31" s="7" t="inlineStr">
        <is>
          <t>$0</t>
        </is>
      </c>
      <c r="D31" s="7" t="inlineStr">
        <is>
          <t>$36,678</t>
        </is>
      </c>
      <c r="E31" s="13" t="inlineStr">
        <is>
          <t>MAINTAIN</t>
        </is>
      </c>
    </row>
    <row r="32">
      <c r="A32" s="5" t="inlineStr">
        <is>
          <t>Reserve</t>
        </is>
      </c>
      <c r="B32" s="5" t="inlineStr">
        <is>
          <t>—</t>
        </is>
      </c>
      <c r="C32" s="5" t="inlineStr">
        <is>
          <t>—</t>
        </is>
      </c>
      <c r="D32" s="5" t="inlineStr">
        <is>
          <t>$12,589</t>
        </is>
      </c>
      <c r="E32" s="5" t="inlineStr">
        <is>
          <t>Unallocated savings</t>
        </is>
      </c>
    </row>
  </sheetData>
  <mergeCells count="8">
    <mergeCell ref="A9:H9"/>
    <mergeCell ref="A26:H26"/>
    <mergeCell ref="A7:H7"/>
    <mergeCell ref="A19:H19"/>
    <mergeCell ref="A11:H11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4" customWidth="1" min="3" max="3"/>
    <col width="15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Raw Campaign Data — 70 rows, Dec 9–15, 2024</t>
        </is>
      </c>
    </row>
    <row r="2"/>
    <row r="3">
      <c r="A3" s="4" t="inlineStr">
        <is>
          <t>date</t>
        </is>
      </c>
      <c r="B3" s="4" t="inlineStr">
        <is>
          <t>campaign_name</t>
        </is>
      </c>
      <c r="C3" s="4" t="inlineStr">
        <is>
          <t>channel</t>
        </is>
      </c>
      <c r="D3" s="4" t="inlineStr">
        <is>
          <t>segment</t>
        </is>
      </c>
      <c r="E3" s="4" t="inlineStr">
        <is>
          <t>impressions</t>
        </is>
      </c>
      <c r="F3" s="4" t="inlineStr">
        <is>
          <t>clicks</t>
        </is>
      </c>
      <c r="G3" s="4" t="inlineStr">
        <is>
          <t>conversions</t>
        </is>
      </c>
      <c r="H3" s="4" t="inlineStr">
        <is>
          <t>spend</t>
        </is>
      </c>
      <c r="I3" s="4" t="inlineStr">
        <is>
          <t>revenue</t>
        </is>
      </c>
      <c r="J3" s="4" t="inlineStr">
        <is>
          <t>orders</t>
        </is>
      </c>
    </row>
    <row r="4">
      <c r="A4" s="7" t="inlineStr">
        <is>
          <t>2024-12-09</t>
        </is>
      </c>
      <c r="B4" s="7" t="inlineStr">
        <is>
          <t>Holiday_Sale_Prospecting</t>
        </is>
      </c>
      <c r="C4" s="7" t="inlineStr">
        <is>
          <t>Facebook_Ads</t>
        </is>
      </c>
      <c r="D4" s="7" t="inlineStr">
        <is>
          <t>New_Customers</t>
        </is>
      </c>
      <c r="E4" s="7" t="n">
        <v>125279</v>
      </c>
      <c r="F4" s="7" t="n">
        <v>3169</v>
      </c>
      <c r="G4" s="7" t="n">
        <v>84</v>
      </c>
      <c r="H4" s="6" t="n">
        <v>2060.43</v>
      </c>
      <c r="I4" s="6" t="n">
        <v>7714.41</v>
      </c>
      <c r="J4" s="7" t="n">
        <v>84</v>
      </c>
    </row>
    <row r="5">
      <c r="A5" s="7" t="inlineStr">
        <is>
          <t>2024-12-09</t>
        </is>
      </c>
      <c r="B5" s="7" t="inlineStr">
        <is>
          <t>Holiday_Sale_Retargeting</t>
        </is>
      </c>
      <c r="C5" s="7" t="inlineStr">
        <is>
          <t>Facebook_Ads</t>
        </is>
      </c>
      <c r="D5" s="7" t="inlineStr">
        <is>
          <t>Retargeting</t>
        </is>
      </c>
      <c r="E5" s="7" t="n">
        <v>43118</v>
      </c>
      <c r="F5" s="7" t="n">
        <v>1724</v>
      </c>
      <c r="G5" s="7" t="n">
        <v>107</v>
      </c>
      <c r="H5" s="6" t="n">
        <v>1414.17</v>
      </c>
      <c r="I5" s="6" t="n">
        <v>11542.94</v>
      </c>
      <c r="J5" s="7" t="n">
        <v>107</v>
      </c>
    </row>
    <row r="6">
      <c r="A6" s="7" t="inlineStr">
        <is>
          <t>2024-12-09</t>
        </is>
      </c>
      <c r="B6" s="7" t="inlineStr">
        <is>
          <t>Product_Launch_Awareness</t>
        </is>
      </c>
      <c r="C6" s="7" t="inlineStr">
        <is>
          <t>Facebook_Ads</t>
        </is>
      </c>
      <c r="D6" s="7" t="inlineStr">
        <is>
          <t>New_Customers</t>
        </is>
      </c>
      <c r="E6" s="7" t="n">
        <v>96975</v>
      </c>
      <c r="F6" s="7" t="n">
        <v>2205</v>
      </c>
      <c r="G6" s="7" t="n">
        <v>38</v>
      </c>
      <c r="H6" s="6" t="n">
        <v>1544.07</v>
      </c>
      <c r="I6" s="6" t="n">
        <v>3371.63</v>
      </c>
      <c r="J6" s="7" t="n">
        <v>38</v>
      </c>
    </row>
    <row r="7">
      <c r="A7" s="7" t="inlineStr">
        <is>
          <t>2024-12-09</t>
        </is>
      </c>
      <c r="B7" s="7" t="inlineStr">
        <is>
          <t>Brand_Search</t>
        </is>
      </c>
      <c r="C7" s="7" t="inlineStr">
        <is>
          <t>Google_Ads</t>
        </is>
      </c>
      <c r="D7" s="7" t="inlineStr">
        <is>
          <t>New_Customers</t>
        </is>
      </c>
      <c r="E7" s="7" t="n">
        <v>15628</v>
      </c>
      <c r="F7" s="7" t="n">
        <v>775</v>
      </c>
      <c r="G7" s="7" t="n">
        <v>95</v>
      </c>
      <c r="H7" s="6" t="n">
        <v>813.8200000000001</v>
      </c>
      <c r="I7" s="6" t="n">
        <v>9750.01</v>
      </c>
      <c r="J7" s="7" t="n">
        <v>95</v>
      </c>
    </row>
    <row r="8">
      <c r="A8" s="7" t="inlineStr">
        <is>
          <t>2024-12-09</t>
        </is>
      </c>
      <c r="B8" s="7" t="inlineStr">
        <is>
          <t>Shopping_Campaigns</t>
        </is>
      </c>
      <c r="C8" s="7" t="inlineStr">
        <is>
          <t>Google_Ads</t>
        </is>
      </c>
      <c r="D8" s="7" t="inlineStr">
        <is>
          <t>New_Customers</t>
        </is>
      </c>
      <c r="E8" s="7" t="n">
        <v>77393</v>
      </c>
      <c r="F8" s="7" t="n">
        <v>1917</v>
      </c>
      <c r="G8" s="7" t="n">
        <v>57</v>
      </c>
      <c r="H8" s="6" t="n">
        <v>1629.03</v>
      </c>
      <c r="I8" s="6" t="n">
        <v>5306.69</v>
      </c>
      <c r="J8" s="7" t="n">
        <v>57</v>
      </c>
    </row>
    <row r="9">
      <c r="A9" s="7" t="inlineStr">
        <is>
          <t>2024-12-09</t>
        </is>
      </c>
      <c r="B9" s="7" t="inlineStr">
        <is>
          <t>Dynamic_Remarketing</t>
        </is>
      </c>
      <c r="C9" s="7" t="inlineStr">
        <is>
          <t>Google_Ads</t>
        </is>
      </c>
      <c r="D9" s="7" t="inlineStr">
        <is>
          <t>Retargeting</t>
        </is>
      </c>
      <c r="E9" s="7" t="n">
        <v>36298</v>
      </c>
      <c r="F9" s="7" t="n">
        <v>1366</v>
      </c>
      <c r="G9" s="7" t="n">
        <v>71</v>
      </c>
      <c r="H9" s="6" t="n">
        <v>1297.63</v>
      </c>
      <c r="I9" s="6" t="n">
        <v>7856.04</v>
      </c>
      <c r="J9" s="7" t="n">
        <v>71</v>
      </c>
    </row>
    <row r="10">
      <c r="A10" s="7" t="inlineStr">
        <is>
          <t>2024-12-09</t>
        </is>
      </c>
      <c r="B10" s="7" t="inlineStr">
        <is>
          <t>Influencer_Collab_Video</t>
        </is>
      </c>
      <c r="C10" s="7" t="inlineStr">
        <is>
          <t>TikTok_Ads</t>
        </is>
      </c>
      <c r="D10" s="7" t="inlineStr">
        <is>
          <t>New_Customers</t>
        </is>
      </c>
      <c r="E10" s="7" t="n">
        <v>244182</v>
      </c>
      <c r="F10" s="7" t="n">
        <v>4983</v>
      </c>
      <c r="G10" s="7" t="n">
        <v>47</v>
      </c>
      <c r="H10" s="6" t="n">
        <v>2890.61</v>
      </c>
      <c r="I10" s="6" t="n">
        <v>4057.74</v>
      </c>
      <c r="J10" s="7" t="n">
        <v>47</v>
      </c>
    </row>
    <row r="11">
      <c r="A11" s="7" t="inlineStr">
        <is>
          <t>2024-12-09</t>
        </is>
      </c>
      <c r="B11" s="7" t="inlineStr">
        <is>
          <t>UGC_Content_Campaign</t>
        </is>
      </c>
      <c r="C11" s="7" t="inlineStr">
        <is>
          <t>TikTok_Ads</t>
        </is>
      </c>
      <c r="D11" s="7" t="inlineStr">
        <is>
          <t>New_Customers</t>
        </is>
      </c>
      <c r="E11" s="7" t="n">
        <v>208784</v>
      </c>
      <c r="F11" s="7" t="n">
        <v>3839</v>
      </c>
      <c r="G11" s="7" t="n">
        <v>45</v>
      </c>
      <c r="H11" s="6" t="n">
        <v>2380.65</v>
      </c>
      <c r="I11" s="6" t="n">
        <v>4104.67</v>
      </c>
      <c r="J11" s="7" t="n">
        <v>45</v>
      </c>
    </row>
    <row r="12">
      <c r="A12" s="7" t="inlineStr">
        <is>
          <t>2024-12-09</t>
        </is>
      </c>
      <c r="B12" s="7" t="inlineStr">
        <is>
          <t>Weekly_Newsletter</t>
        </is>
      </c>
      <c r="C12" s="7" t="inlineStr">
        <is>
          <t>Email</t>
        </is>
      </c>
      <c r="D12" s="7" t="inlineStr">
        <is>
          <t>Loyalty</t>
        </is>
      </c>
      <c r="E12" s="7" t="inlineStr"/>
      <c r="F12" s="7" t="n">
        <v>14001</v>
      </c>
      <c r="G12" s="7" t="n">
        <v>297</v>
      </c>
      <c r="H12" s="6" t="n">
        <v>279.3</v>
      </c>
      <c r="I12" s="6" t="n">
        <v>29050.54</v>
      </c>
      <c r="J12" s="7" t="n">
        <v>297</v>
      </c>
    </row>
    <row r="13">
      <c r="A13" s="7" t="inlineStr">
        <is>
          <t>2024-12-09</t>
        </is>
      </c>
      <c r="B13" s="7" t="inlineStr">
        <is>
          <t>Abandoned_Cart_Sequence</t>
        </is>
      </c>
      <c r="C13" s="7" t="inlineStr">
        <is>
          <t>Email</t>
        </is>
      </c>
      <c r="D13" s="7" t="inlineStr">
        <is>
          <t>Retargeting</t>
        </is>
      </c>
      <c r="E13" s="7" t="inlineStr"/>
      <c r="F13" s="7" t="n">
        <v>2462</v>
      </c>
      <c r="G13" s="7" t="n">
        <v>84</v>
      </c>
      <c r="H13" s="6" t="n">
        <v>24.37</v>
      </c>
      <c r="I13" s="6" t="n">
        <v>9633.950000000001</v>
      </c>
      <c r="J13" s="7" t="n">
        <v>84</v>
      </c>
    </row>
    <row r="14">
      <c r="A14" s="7" t="inlineStr">
        <is>
          <t>2024-12-10</t>
        </is>
      </c>
      <c r="B14" s="7" t="inlineStr">
        <is>
          <t>Holiday_Sale_Prospecting</t>
        </is>
      </c>
      <c r="C14" s="7" t="inlineStr">
        <is>
          <t>Facebook_Ads</t>
        </is>
      </c>
      <c r="D14" s="7" t="inlineStr">
        <is>
          <t>New_Customers</t>
        </is>
      </c>
      <c r="E14" s="7" t="n">
        <v>130163</v>
      </c>
      <c r="F14" s="7" t="n">
        <v>3293</v>
      </c>
      <c r="G14" s="7" t="n">
        <v>87</v>
      </c>
      <c r="H14" s="6" t="n">
        <v>2140.76</v>
      </c>
      <c r="I14" s="6" t="n">
        <v>8015.15</v>
      </c>
      <c r="J14" s="7" t="n">
        <v>87</v>
      </c>
    </row>
    <row r="15">
      <c r="A15" s="7" t="inlineStr">
        <is>
          <t>2024-12-10</t>
        </is>
      </c>
      <c r="B15" s="7" t="inlineStr">
        <is>
          <t>Holiday_Sale_Retargeting</t>
        </is>
      </c>
      <c r="C15" s="7" t="inlineStr">
        <is>
          <t>Facebook_Ads</t>
        </is>
      </c>
      <c r="D15" s="7" t="inlineStr">
        <is>
          <t>Retargeting</t>
        </is>
      </c>
      <c r="E15" s="7" t="n">
        <v>39463</v>
      </c>
      <c r="F15" s="7" t="n">
        <v>1578</v>
      </c>
      <c r="G15" s="7" t="n">
        <v>98</v>
      </c>
      <c r="H15" s="6" t="n">
        <v>1294.29</v>
      </c>
      <c r="I15" s="6" t="n">
        <v>10564.44</v>
      </c>
      <c r="J15" s="7" t="n">
        <v>98</v>
      </c>
    </row>
    <row r="16">
      <c r="A16" s="7" t="inlineStr">
        <is>
          <t>2024-12-10</t>
        </is>
      </c>
      <c r="B16" s="7" t="inlineStr">
        <is>
          <t>Product_Launch_Awareness</t>
        </is>
      </c>
      <c r="C16" s="7" t="inlineStr">
        <is>
          <t>Facebook_Ads</t>
        </is>
      </c>
      <c r="D16" s="7" t="inlineStr">
        <is>
          <t>New_Customers</t>
        </is>
      </c>
      <c r="E16" s="7" t="n">
        <v>98898</v>
      </c>
      <c r="F16" s="7" t="n">
        <v>2248</v>
      </c>
      <c r="G16" s="7" t="n">
        <v>39</v>
      </c>
      <c r="H16" s="6" t="n">
        <v>1574.69</v>
      </c>
      <c r="I16" s="6" t="n">
        <v>3438.51</v>
      </c>
      <c r="J16" s="7" t="n">
        <v>39</v>
      </c>
    </row>
    <row r="17">
      <c r="A17" s="7" t="inlineStr">
        <is>
          <t>2024-12-10</t>
        </is>
      </c>
      <c r="B17" s="7" t="inlineStr">
        <is>
          <t>Brand_Search</t>
        </is>
      </c>
      <c r="C17" s="7" t="inlineStr">
        <is>
          <t>Google_Ads</t>
        </is>
      </c>
      <c r="D17" s="7" t="inlineStr">
        <is>
          <t>New_Customers</t>
        </is>
      </c>
      <c r="E17" s="7" t="n">
        <v>17410</v>
      </c>
      <c r="F17" s="7" t="n">
        <v>863</v>
      </c>
      <c r="G17" s="7" t="n">
        <v>106</v>
      </c>
      <c r="H17" s="6" t="n">
        <v>906.65</v>
      </c>
      <c r="I17" s="6" t="n">
        <v>10862.09</v>
      </c>
      <c r="J17" s="7" t="n">
        <v>106</v>
      </c>
    </row>
    <row r="18">
      <c r="A18" s="7" t="inlineStr">
        <is>
          <t>2024-12-10</t>
        </is>
      </c>
      <c r="B18" s="7" t="inlineStr">
        <is>
          <t>Shopping_Campaigns</t>
        </is>
      </c>
      <c r="C18" s="7" t="inlineStr">
        <is>
          <t>Google_Ads</t>
        </is>
      </c>
      <c r="D18" s="7" t="inlineStr">
        <is>
          <t>New_Customers</t>
        </is>
      </c>
      <c r="E18" s="7" t="n">
        <v>93584</v>
      </c>
      <c r="F18" s="7" t="n">
        <v>2318</v>
      </c>
      <c r="G18" s="7" t="n">
        <v>69</v>
      </c>
      <c r="H18" s="6" t="n">
        <v>1969.82</v>
      </c>
      <c r="I18" s="6" t="n">
        <v>6416.83</v>
      </c>
      <c r="J18" s="7" t="n">
        <v>69</v>
      </c>
    </row>
    <row r="19">
      <c r="A19" s="7" t="inlineStr">
        <is>
          <t>2024-12-10</t>
        </is>
      </c>
      <c r="B19" s="7" t="inlineStr">
        <is>
          <t>Dynamic_Remarketing</t>
        </is>
      </c>
      <c r="C19" s="7" t="inlineStr">
        <is>
          <t>Google_Ads</t>
        </is>
      </c>
      <c r="D19" s="7" t="inlineStr">
        <is>
          <t>Retargeting</t>
        </is>
      </c>
      <c r="E19" s="7" t="n">
        <v>39271</v>
      </c>
      <c r="F19" s="7" t="n">
        <v>1478</v>
      </c>
      <c r="G19" s="7" t="n">
        <v>76</v>
      </c>
      <c r="H19" s="6" t="n">
        <v>1403.91</v>
      </c>
      <c r="I19" s="6" t="n">
        <v>8499.459999999999</v>
      </c>
      <c r="J19" s="7" t="n">
        <v>76</v>
      </c>
    </row>
    <row r="20">
      <c r="A20" s="7" t="inlineStr">
        <is>
          <t>2024-12-10</t>
        </is>
      </c>
      <c r="B20" s="7" t="inlineStr">
        <is>
          <t>Influencer_Collab_Video</t>
        </is>
      </c>
      <c r="C20" s="7" t="inlineStr">
        <is>
          <t>TikTok_Ads</t>
        </is>
      </c>
      <c r="D20" s="7" t="inlineStr">
        <is>
          <t>New_Customers</t>
        </is>
      </c>
      <c r="E20" s="7" t="n">
        <v>290292</v>
      </c>
      <c r="F20" s="7" t="n">
        <v>5924</v>
      </c>
      <c r="G20" s="7" t="n">
        <v>56</v>
      </c>
      <c r="H20" s="6" t="n">
        <v>3436.45</v>
      </c>
      <c r="I20" s="6" t="n">
        <v>4823.97</v>
      </c>
      <c r="J20" s="7" t="n">
        <v>56</v>
      </c>
    </row>
    <row r="21">
      <c r="A21" s="7" t="inlineStr">
        <is>
          <t>2024-12-10</t>
        </is>
      </c>
      <c r="B21" s="7" t="inlineStr">
        <is>
          <t>UGC_Content_Campaign</t>
        </is>
      </c>
      <c r="C21" s="7" t="inlineStr">
        <is>
          <t>TikTok_Ads</t>
        </is>
      </c>
      <c r="D21" s="7" t="inlineStr">
        <is>
          <t>New_Customers</t>
        </is>
      </c>
      <c r="E21" s="7" t="n">
        <v>218783</v>
      </c>
      <c r="F21" s="7" t="n">
        <v>4023</v>
      </c>
      <c r="G21" s="7" t="n">
        <v>47</v>
      </c>
      <c r="H21" s="6" t="n">
        <v>2494.66</v>
      </c>
      <c r="I21" s="6" t="n">
        <v>4301.25</v>
      </c>
      <c r="J21" s="7" t="n">
        <v>47</v>
      </c>
    </row>
    <row r="22">
      <c r="A22" s="7" t="inlineStr">
        <is>
          <t>2024-12-10</t>
        </is>
      </c>
      <c r="B22" s="7" t="inlineStr">
        <is>
          <t>Weekly_Newsletter</t>
        </is>
      </c>
      <c r="C22" s="7" t="inlineStr">
        <is>
          <t>Email</t>
        </is>
      </c>
      <c r="D22" s="7" t="inlineStr">
        <is>
          <t>Loyalty</t>
        </is>
      </c>
      <c r="E22" s="7" t="inlineStr"/>
      <c r="F22" s="7" t="n">
        <v>11265</v>
      </c>
      <c r="G22" s="7" t="n">
        <v>239</v>
      </c>
      <c r="H22" s="6" t="n">
        <v>224.73</v>
      </c>
      <c r="I22" s="6" t="n">
        <v>23374.21</v>
      </c>
      <c r="J22" s="7" t="n">
        <v>239</v>
      </c>
    </row>
    <row r="23">
      <c r="A23" s="7" t="inlineStr">
        <is>
          <t>2024-12-10</t>
        </is>
      </c>
      <c r="B23" s="7" t="inlineStr">
        <is>
          <t>Abandoned_Cart_Sequence</t>
        </is>
      </c>
      <c r="C23" s="7" t="inlineStr">
        <is>
          <t>Email</t>
        </is>
      </c>
      <c r="D23" s="7" t="inlineStr">
        <is>
          <t>Retargeting</t>
        </is>
      </c>
      <c r="E23" s="7" t="inlineStr"/>
      <c r="F23" s="7" t="n">
        <v>2466</v>
      </c>
      <c r="G23" s="7" t="n">
        <v>84</v>
      </c>
      <c r="H23" s="6" t="n">
        <v>24.41</v>
      </c>
      <c r="I23" s="6" t="n">
        <v>9647.440000000001</v>
      </c>
      <c r="J23" s="7" t="n">
        <v>84</v>
      </c>
    </row>
    <row r="24">
      <c r="A24" s="7" t="inlineStr">
        <is>
          <t>2024-12-11</t>
        </is>
      </c>
      <c r="B24" s="7" t="inlineStr">
        <is>
          <t>Holiday_Sale_Prospecting</t>
        </is>
      </c>
      <c r="C24" s="7" t="inlineStr">
        <is>
          <t>Facebook_Ads</t>
        </is>
      </c>
      <c r="D24" s="7" t="inlineStr">
        <is>
          <t>New_Customers</t>
        </is>
      </c>
      <c r="E24" s="7" t="n">
        <v>141306</v>
      </c>
      <c r="F24" s="7" t="n">
        <v>3575</v>
      </c>
      <c r="G24" s="7" t="n">
        <v>94</v>
      </c>
      <c r="H24" s="6" t="n">
        <v>2324.03</v>
      </c>
      <c r="I24" s="6" t="n">
        <v>8701.33</v>
      </c>
      <c r="J24" s="7" t="n">
        <v>94</v>
      </c>
    </row>
    <row r="25">
      <c r="A25" s="7" t="inlineStr">
        <is>
          <t>2024-12-11</t>
        </is>
      </c>
      <c r="B25" s="7" t="inlineStr">
        <is>
          <t>Holiday_Sale_Retargeting</t>
        </is>
      </c>
      <c r="C25" s="7" t="inlineStr">
        <is>
          <t>Facebook_Ads</t>
        </is>
      </c>
      <c r="D25" s="7" t="inlineStr">
        <is>
          <t>Retargeting</t>
        </is>
      </c>
      <c r="E25" s="7" t="n">
        <v>43932</v>
      </c>
      <c r="F25" s="7" t="n">
        <v>1756</v>
      </c>
      <c r="G25" s="7" t="n">
        <v>109</v>
      </c>
      <c r="H25" s="6" t="n">
        <v>1440.86</v>
      </c>
      <c r="I25" s="6" t="n">
        <v>11760.85</v>
      </c>
      <c r="J25" s="7" t="n">
        <v>109</v>
      </c>
    </row>
    <row r="26">
      <c r="A26" s="7" t="inlineStr">
        <is>
          <t>2024-12-11</t>
        </is>
      </c>
      <c r="B26" s="7" t="inlineStr">
        <is>
          <t>Product_Launch_Awareness</t>
        </is>
      </c>
      <c r="C26" s="7" t="inlineStr">
        <is>
          <t>Facebook_Ads</t>
        </is>
      </c>
      <c r="D26" s="7" t="inlineStr">
        <is>
          <t>New_Customers</t>
        </is>
      </c>
      <c r="E26" s="7" t="n">
        <v>86612</v>
      </c>
      <c r="F26" s="7" t="n">
        <v>1969</v>
      </c>
      <c r="G26" s="7" t="n">
        <v>34</v>
      </c>
      <c r="H26" s="6" t="n">
        <v>1379.06</v>
      </c>
      <c r="I26" s="6" t="n">
        <v>3011.33</v>
      </c>
      <c r="J26" s="7" t="n">
        <v>34</v>
      </c>
    </row>
    <row r="27">
      <c r="A27" s="7" t="inlineStr">
        <is>
          <t>2024-12-11</t>
        </is>
      </c>
      <c r="B27" s="7" t="inlineStr">
        <is>
          <t>Brand_Search</t>
        </is>
      </c>
      <c r="C27" s="7" t="inlineStr">
        <is>
          <t>Google_Ads</t>
        </is>
      </c>
      <c r="D27" s="7" t="inlineStr">
        <is>
          <t>New_Customers</t>
        </is>
      </c>
      <c r="E27" s="7" t="n">
        <v>14422</v>
      </c>
      <c r="F27" s="7" t="n">
        <v>715</v>
      </c>
      <c r="G27" s="7" t="n">
        <v>87</v>
      </c>
      <c r="H27" s="6" t="n">
        <v>751.0599999999999</v>
      </c>
      <c r="I27" s="6" t="n">
        <v>8998.08</v>
      </c>
      <c r="J27" s="7" t="n">
        <v>87</v>
      </c>
    </row>
    <row r="28">
      <c r="A28" s="7" t="inlineStr">
        <is>
          <t>2024-12-11</t>
        </is>
      </c>
      <c r="B28" s="7" t="inlineStr">
        <is>
          <t>Shopping_Campaigns</t>
        </is>
      </c>
      <c r="C28" s="7" t="inlineStr">
        <is>
          <t>Google_Ads</t>
        </is>
      </c>
      <c r="D28" s="7" t="inlineStr">
        <is>
          <t>New_Customers</t>
        </is>
      </c>
      <c r="E28" s="7" t="n">
        <v>80728</v>
      </c>
      <c r="F28" s="7" t="n">
        <v>1999</v>
      </c>
      <c r="G28" s="7" t="n">
        <v>59</v>
      </c>
      <c r="H28" s="6" t="n">
        <v>1699.22</v>
      </c>
      <c r="I28" s="6" t="n">
        <v>5535.35</v>
      </c>
      <c r="J28" s="7" t="n">
        <v>59</v>
      </c>
    </row>
    <row r="29">
      <c r="A29" s="7" t="inlineStr">
        <is>
          <t>2024-12-11</t>
        </is>
      </c>
      <c r="B29" s="7" t="inlineStr">
        <is>
          <t>Dynamic_Remarketing</t>
        </is>
      </c>
      <c r="C29" s="7" t="inlineStr">
        <is>
          <t>Google_Ads</t>
        </is>
      </c>
      <c r="D29" s="7" t="inlineStr">
        <is>
          <t>Retargeting</t>
        </is>
      </c>
      <c r="E29" s="7" t="n">
        <v>41764</v>
      </c>
      <c r="F29" s="7" t="n">
        <v>1571</v>
      </c>
      <c r="G29" s="7" t="n">
        <v>81</v>
      </c>
      <c r="H29" s="6" t="n">
        <v>1493.05</v>
      </c>
      <c r="I29" s="6" t="n">
        <v>9039.09</v>
      </c>
      <c r="J29" s="7" t="n">
        <v>81</v>
      </c>
    </row>
    <row r="30">
      <c r="A30" s="7" t="inlineStr">
        <is>
          <t>2024-12-11</t>
        </is>
      </c>
      <c r="B30" s="7" t="inlineStr">
        <is>
          <t>Influencer_Collab_Video</t>
        </is>
      </c>
      <c r="C30" s="7" t="inlineStr">
        <is>
          <t>TikTok_Ads</t>
        </is>
      </c>
      <c r="D30" s="7" t="inlineStr">
        <is>
          <t>New_Customers</t>
        </is>
      </c>
      <c r="E30" s="7" t="n">
        <v>288988</v>
      </c>
      <c r="F30" s="7" t="n">
        <v>5898</v>
      </c>
      <c r="G30" s="7" t="n">
        <v>56</v>
      </c>
      <c r="H30" s="6" t="n">
        <v>3421.01</v>
      </c>
      <c r="I30" s="6" t="n">
        <v>4802.29</v>
      </c>
      <c r="J30" s="7" t="n">
        <v>56</v>
      </c>
    </row>
    <row r="31">
      <c r="A31" s="7" t="inlineStr">
        <is>
          <t>2024-12-11</t>
        </is>
      </c>
      <c r="B31" s="7" t="inlineStr">
        <is>
          <t>UGC_Content_Campaign</t>
        </is>
      </c>
      <c r="C31" s="7" t="inlineStr">
        <is>
          <t>TikTok_Ads</t>
        </is>
      </c>
      <c r="D31" s="7" t="inlineStr">
        <is>
          <t>New_Customers</t>
        </is>
      </c>
      <c r="E31" s="7" t="n">
        <v>179785</v>
      </c>
      <c r="F31" s="7" t="n">
        <v>3306</v>
      </c>
      <c r="G31" s="7" t="n">
        <v>39</v>
      </c>
      <c r="H31" s="6" t="n">
        <v>2049.99</v>
      </c>
      <c r="I31" s="6" t="n">
        <v>3534.55</v>
      </c>
      <c r="J31" s="7" t="n">
        <v>39</v>
      </c>
    </row>
    <row r="32">
      <c r="A32" s="7" t="inlineStr">
        <is>
          <t>2024-12-11</t>
        </is>
      </c>
      <c r="B32" s="7" t="inlineStr">
        <is>
          <t>Weekly_Newsletter</t>
        </is>
      </c>
      <c r="C32" s="7" t="inlineStr">
        <is>
          <t>Email</t>
        </is>
      </c>
      <c r="D32" s="7" t="inlineStr">
        <is>
          <t>Loyalty</t>
        </is>
      </c>
      <c r="E32" s="7" t="inlineStr"/>
      <c r="F32" s="7" t="n">
        <v>11140</v>
      </c>
      <c r="G32" s="7" t="n">
        <v>237</v>
      </c>
      <c r="H32" s="6" t="n">
        <v>222.24</v>
      </c>
      <c r="I32" s="6" t="n">
        <v>23115.38</v>
      </c>
      <c r="J32" s="7" t="n">
        <v>237</v>
      </c>
    </row>
    <row r="33">
      <c r="A33" s="7" t="inlineStr">
        <is>
          <t>2024-12-11</t>
        </is>
      </c>
      <c r="B33" s="7" t="inlineStr">
        <is>
          <t>Abandoned_Cart_Sequence</t>
        </is>
      </c>
      <c r="C33" s="7" t="inlineStr">
        <is>
          <t>Email</t>
        </is>
      </c>
      <c r="D33" s="7" t="inlineStr">
        <is>
          <t>Retargeting</t>
        </is>
      </c>
      <c r="E33" s="7" t="inlineStr"/>
      <c r="F33" s="7" t="n">
        <v>2121</v>
      </c>
      <c r="G33" s="7" t="n">
        <v>72</v>
      </c>
      <c r="H33" s="6" t="n">
        <v>21</v>
      </c>
      <c r="I33" s="6" t="n">
        <v>8298.950000000001</v>
      </c>
      <c r="J33" s="7" t="n">
        <v>72</v>
      </c>
    </row>
    <row r="34">
      <c r="A34" s="7" t="inlineStr">
        <is>
          <t>2024-12-12</t>
        </is>
      </c>
      <c r="B34" s="7" t="inlineStr">
        <is>
          <t>Holiday_Sale_Prospecting</t>
        </is>
      </c>
      <c r="C34" s="7" t="inlineStr">
        <is>
          <t>Facebook_Ads</t>
        </is>
      </c>
      <c r="D34" s="7" t="inlineStr">
        <is>
          <t>New_Customers</t>
        </is>
      </c>
      <c r="E34" s="7" t="n">
        <v>138154</v>
      </c>
      <c r="F34" s="7" t="n">
        <v>3495</v>
      </c>
      <c r="G34" s="7" t="n">
        <v>92</v>
      </c>
      <c r="H34" s="6" t="n">
        <v>2272.19</v>
      </c>
      <c r="I34" s="6" t="n">
        <v>8507.24</v>
      </c>
      <c r="J34" s="7" t="n">
        <v>92</v>
      </c>
    </row>
    <row r="35">
      <c r="A35" s="7" t="inlineStr">
        <is>
          <t>2024-12-12</t>
        </is>
      </c>
      <c r="B35" s="7" t="inlineStr">
        <is>
          <t>Holiday_Sale_Retargeting</t>
        </is>
      </c>
      <c r="C35" s="7" t="inlineStr">
        <is>
          <t>Facebook_Ads</t>
        </is>
      </c>
      <c r="D35" s="7" t="inlineStr">
        <is>
          <t>Retargeting</t>
        </is>
      </c>
      <c r="E35" s="7" t="n">
        <v>46835</v>
      </c>
      <c r="F35" s="7" t="n">
        <v>1873</v>
      </c>
      <c r="G35" s="7" t="n">
        <v>117</v>
      </c>
      <c r="H35" s="6" t="n">
        <v>1536.08</v>
      </c>
      <c r="I35" s="6" t="n">
        <v>12538.07</v>
      </c>
      <c r="J35" s="7" t="n">
        <v>117</v>
      </c>
    </row>
    <row r="36">
      <c r="A36" s="7" t="inlineStr">
        <is>
          <t>2024-12-12</t>
        </is>
      </c>
      <c r="B36" s="7" t="inlineStr">
        <is>
          <t>Product_Launch_Awareness</t>
        </is>
      </c>
      <c r="C36" s="7" t="inlineStr">
        <is>
          <t>Facebook_Ads</t>
        </is>
      </c>
      <c r="D36" s="7" t="inlineStr">
        <is>
          <t>New_Customers</t>
        </is>
      </c>
      <c r="E36" s="7" t="n">
        <v>95435</v>
      </c>
      <c r="F36" s="7" t="n">
        <v>2170</v>
      </c>
      <c r="G36" s="7" t="n">
        <v>37</v>
      </c>
      <c r="H36" s="6" t="n">
        <v>1519.55</v>
      </c>
      <c r="I36" s="6" t="n">
        <v>3318.1</v>
      </c>
      <c r="J36" s="7" t="n">
        <v>37</v>
      </c>
    </row>
    <row r="37">
      <c r="A37" s="7" t="inlineStr">
        <is>
          <t>2024-12-12</t>
        </is>
      </c>
      <c r="B37" s="7" t="inlineStr">
        <is>
          <t>Brand_Search</t>
        </is>
      </c>
      <c r="C37" s="7" t="inlineStr">
        <is>
          <t>Google_Ads</t>
        </is>
      </c>
      <c r="D37" s="7" t="inlineStr">
        <is>
          <t>New_Customers</t>
        </is>
      </c>
      <c r="E37" s="7" t="n">
        <v>15136</v>
      </c>
      <c r="F37" s="7" t="n">
        <v>750</v>
      </c>
      <c r="G37" s="7" t="n">
        <v>92</v>
      </c>
      <c r="H37" s="6" t="n">
        <v>788.21</v>
      </c>
      <c r="I37" s="6" t="n">
        <v>9443.200000000001</v>
      </c>
      <c r="J37" s="7" t="n">
        <v>92</v>
      </c>
    </row>
    <row r="38">
      <c r="A38" s="7" t="inlineStr">
        <is>
          <t>2024-12-12</t>
        </is>
      </c>
      <c r="B38" s="7" t="inlineStr">
        <is>
          <t>Shopping_Campaigns</t>
        </is>
      </c>
      <c r="C38" s="7" t="inlineStr">
        <is>
          <t>Google_Ads</t>
        </is>
      </c>
      <c r="D38" s="7" t="inlineStr">
        <is>
          <t>New_Customers</t>
        </is>
      </c>
      <c r="E38" s="7" t="n">
        <v>79650</v>
      </c>
      <c r="F38" s="7" t="n">
        <v>1973</v>
      </c>
      <c r="G38" s="7" t="n">
        <v>58</v>
      </c>
      <c r="H38" s="6" t="n">
        <v>1676.54</v>
      </c>
      <c r="I38" s="6" t="n">
        <v>5461.45</v>
      </c>
      <c r="J38" s="7" t="n">
        <v>58</v>
      </c>
    </row>
    <row r="39">
      <c r="A39" s="7" t="inlineStr">
        <is>
          <t>2024-12-12</t>
        </is>
      </c>
      <c r="B39" s="7" t="inlineStr">
        <is>
          <t>Dynamic_Remarketing</t>
        </is>
      </c>
      <c r="C39" s="7" t="inlineStr">
        <is>
          <t>Google_Ads</t>
        </is>
      </c>
      <c r="D39" s="7" t="inlineStr">
        <is>
          <t>Retargeting</t>
        </is>
      </c>
      <c r="E39" s="7" t="n">
        <v>37349</v>
      </c>
      <c r="F39" s="7" t="n">
        <v>1405</v>
      </c>
      <c r="G39" s="7" t="n">
        <v>73</v>
      </c>
      <c r="H39" s="6" t="n">
        <v>1335.19</v>
      </c>
      <c r="I39" s="6" t="n">
        <v>8083.42</v>
      </c>
      <c r="J39" s="7" t="n">
        <v>73</v>
      </c>
    </row>
    <row r="40">
      <c r="A40" s="7" t="inlineStr">
        <is>
          <t>2024-12-12</t>
        </is>
      </c>
      <c r="B40" s="7" t="inlineStr">
        <is>
          <t>Influencer_Collab_Video</t>
        </is>
      </c>
      <c r="C40" s="7" t="inlineStr">
        <is>
          <t>TikTok_Ads</t>
        </is>
      </c>
      <c r="D40" s="7" t="inlineStr">
        <is>
          <t>New_Customers</t>
        </is>
      </c>
      <c r="E40" s="7" t="n">
        <v>242963</v>
      </c>
      <c r="F40" s="7" t="n">
        <v>4958</v>
      </c>
      <c r="G40" s="7" t="n">
        <v>47</v>
      </c>
      <c r="H40" s="6" t="n">
        <v>2876.18</v>
      </c>
      <c r="I40" s="6" t="n">
        <v>4037.48</v>
      </c>
      <c r="J40" s="7" t="n">
        <v>47</v>
      </c>
    </row>
    <row r="41">
      <c r="A41" s="7" t="inlineStr">
        <is>
          <t>2024-12-12</t>
        </is>
      </c>
      <c r="B41" s="7" t="inlineStr">
        <is>
          <t>UGC_Content_Campaign</t>
        </is>
      </c>
      <c r="C41" s="7" t="inlineStr">
        <is>
          <t>TikTok_Ads</t>
        </is>
      </c>
      <c r="D41" s="7" t="inlineStr">
        <is>
          <t>New_Customers</t>
        </is>
      </c>
      <c r="E41" s="7" t="n">
        <v>220333</v>
      </c>
      <c r="F41" s="7" t="n">
        <v>4051</v>
      </c>
      <c r="G41" s="7" t="n">
        <v>48</v>
      </c>
      <c r="H41" s="6" t="n">
        <v>2512.33</v>
      </c>
      <c r="I41" s="6" t="n">
        <v>4331.72</v>
      </c>
      <c r="J41" s="7" t="n">
        <v>48</v>
      </c>
    </row>
    <row r="42">
      <c r="A42" s="7" t="inlineStr">
        <is>
          <t>2024-12-12</t>
        </is>
      </c>
      <c r="B42" s="7" t="inlineStr">
        <is>
          <t>Weekly_Newsletter</t>
        </is>
      </c>
      <c r="C42" s="7" t="inlineStr">
        <is>
          <t>Email</t>
        </is>
      </c>
      <c r="D42" s="7" t="inlineStr">
        <is>
          <t>Loyalty</t>
        </is>
      </c>
      <c r="E42" s="7" t="inlineStr"/>
      <c r="F42" s="7" t="n">
        <v>11610</v>
      </c>
      <c r="G42" s="7" t="n">
        <v>247</v>
      </c>
      <c r="H42" s="6" t="n">
        <v>231.6</v>
      </c>
      <c r="I42" s="6" t="n">
        <v>24089.32</v>
      </c>
      <c r="J42" s="7" t="n">
        <v>247</v>
      </c>
    </row>
    <row r="43">
      <c r="A43" s="7" t="inlineStr">
        <is>
          <t>2024-12-12</t>
        </is>
      </c>
      <c r="B43" s="7" t="inlineStr">
        <is>
          <t>Abandoned_Cart_Sequence</t>
        </is>
      </c>
      <c r="C43" s="7" t="inlineStr">
        <is>
          <t>Email</t>
        </is>
      </c>
      <c r="D43" s="7" t="inlineStr">
        <is>
          <t>Retargeting</t>
        </is>
      </c>
      <c r="E43" s="7" t="inlineStr"/>
      <c r="F43" s="7" t="n">
        <v>2519</v>
      </c>
      <c r="G43" s="7" t="n">
        <v>86</v>
      </c>
      <c r="H43" s="6" t="n">
        <v>24.93</v>
      </c>
      <c r="I43" s="6" t="n">
        <v>9854.540000000001</v>
      </c>
      <c r="J43" s="7" t="n">
        <v>86</v>
      </c>
    </row>
    <row r="44">
      <c r="A44" s="7" t="inlineStr">
        <is>
          <t>2024-12-13</t>
        </is>
      </c>
      <c r="B44" s="7" t="inlineStr">
        <is>
          <t>Holiday_Sale_Prospecting</t>
        </is>
      </c>
      <c r="C44" s="7" t="inlineStr">
        <is>
          <t>Facebook_Ads</t>
        </is>
      </c>
      <c r="D44" s="7" t="inlineStr">
        <is>
          <t>New_Customers</t>
        </is>
      </c>
      <c r="E44" s="7" t="n">
        <v>135879</v>
      </c>
      <c r="F44" s="7" t="n">
        <v>3437</v>
      </c>
      <c r="G44" s="7" t="n">
        <v>91</v>
      </c>
      <c r="H44" s="6" t="n">
        <v>2234.76</v>
      </c>
      <c r="I44" s="6" t="n">
        <v>8367.129999999999</v>
      </c>
      <c r="J44" s="7" t="n">
        <v>91</v>
      </c>
    </row>
    <row r="45">
      <c r="A45" s="7" t="inlineStr">
        <is>
          <t>2024-12-13</t>
        </is>
      </c>
      <c r="B45" s="7" t="inlineStr">
        <is>
          <t>Holiday_Sale_Retargeting</t>
        </is>
      </c>
      <c r="C45" s="7" t="inlineStr">
        <is>
          <t>Facebook_Ads</t>
        </is>
      </c>
      <c r="D45" s="7" t="inlineStr">
        <is>
          <t>Retargeting</t>
        </is>
      </c>
      <c r="E45" s="7" t="n">
        <v>47489</v>
      </c>
      <c r="F45" s="7" t="n">
        <v>1899</v>
      </c>
      <c r="G45" s="7" t="n">
        <v>118</v>
      </c>
      <c r="H45" s="6" t="n">
        <v>1557.52</v>
      </c>
      <c r="I45" s="6" t="n">
        <v>12713.06</v>
      </c>
      <c r="J45" s="7" t="n">
        <v>118</v>
      </c>
    </row>
    <row r="46">
      <c r="A46" s="7" t="inlineStr">
        <is>
          <t>2024-12-13</t>
        </is>
      </c>
      <c r="B46" s="7" t="inlineStr">
        <is>
          <t>Product_Launch_Awareness</t>
        </is>
      </c>
      <c r="C46" s="7" t="inlineStr">
        <is>
          <t>Facebook_Ads</t>
        </is>
      </c>
      <c r="D46" s="7" t="inlineStr">
        <is>
          <t>New_Customers</t>
        </is>
      </c>
      <c r="E46" s="7" t="n">
        <v>107190</v>
      </c>
      <c r="F46" s="7" t="n">
        <v>2437</v>
      </c>
      <c r="G46" s="7" t="n">
        <v>42</v>
      </c>
      <c r="H46" s="6" t="n">
        <v>1706.72</v>
      </c>
      <c r="I46" s="6" t="n">
        <v>3726.8</v>
      </c>
      <c r="J46" s="7" t="n">
        <v>42</v>
      </c>
    </row>
    <row r="47">
      <c r="A47" s="7" t="inlineStr">
        <is>
          <t>2024-12-13</t>
        </is>
      </c>
      <c r="B47" s="7" t="inlineStr">
        <is>
          <t>Brand_Search</t>
        </is>
      </c>
      <c r="C47" s="7" t="inlineStr">
        <is>
          <t>Google_Ads</t>
        </is>
      </c>
      <c r="D47" s="7" t="inlineStr">
        <is>
          <t>New_Customers</t>
        </is>
      </c>
      <c r="E47" s="7" t="n">
        <v>14369</v>
      </c>
      <c r="F47" s="7" t="n">
        <v>712</v>
      </c>
      <c r="G47" s="7" t="n">
        <v>87</v>
      </c>
      <c r="H47" s="6" t="n">
        <v>748.26</v>
      </c>
      <c r="I47" s="6" t="n">
        <v>8964.530000000001</v>
      </c>
      <c r="J47" s="7" t="n">
        <v>87</v>
      </c>
    </row>
    <row r="48">
      <c r="A48" s="7" t="inlineStr">
        <is>
          <t>2024-12-13</t>
        </is>
      </c>
      <c r="B48" s="7" t="inlineStr">
        <is>
          <t>Shopping_Campaigns</t>
        </is>
      </c>
      <c r="C48" s="7" t="inlineStr">
        <is>
          <t>Google_Ads</t>
        </is>
      </c>
      <c r="D48" s="7" t="inlineStr">
        <is>
          <t>New_Customers</t>
        </is>
      </c>
      <c r="E48" s="7" t="n">
        <v>80218</v>
      </c>
      <c r="F48" s="7" t="n">
        <v>1987</v>
      </c>
      <c r="G48" s="7" t="n">
        <v>59</v>
      </c>
      <c r="H48" s="6" t="n">
        <v>1688.49</v>
      </c>
      <c r="I48" s="6" t="n">
        <v>5500.4</v>
      </c>
      <c r="J48" s="7" t="n">
        <v>59</v>
      </c>
    </row>
    <row r="49">
      <c r="A49" s="7" t="inlineStr">
        <is>
          <t>2024-12-13</t>
        </is>
      </c>
      <c r="B49" s="7" t="inlineStr">
        <is>
          <t>Dynamic_Remarketing</t>
        </is>
      </c>
      <c r="C49" s="7" t="inlineStr">
        <is>
          <t>Google_Ads</t>
        </is>
      </c>
      <c r="D49" s="7" t="inlineStr">
        <is>
          <t>Retargeting</t>
        </is>
      </c>
      <c r="E49" s="7" t="n">
        <v>45113</v>
      </c>
      <c r="F49" s="7" t="n">
        <v>1697</v>
      </c>
      <c r="G49" s="7" t="n">
        <v>88</v>
      </c>
      <c r="H49" s="6" t="n">
        <v>1612.75</v>
      </c>
      <c r="I49" s="6" t="n">
        <v>9763.790000000001</v>
      </c>
      <c r="J49" s="7" t="n">
        <v>88</v>
      </c>
    </row>
    <row r="50">
      <c r="A50" s="7" t="inlineStr">
        <is>
          <t>2024-12-13</t>
        </is>
      </c>
      <c r="B50" s="7" t="inlineStr">
        <is>
          <t>Influencer_Collab_Video</t>
        </is>
      </c>
      <c r="C50" s="7" t="inlineStr">
        <is>
          <t>TikTok_Ads</t>
        </is>
      </c>
      <c r="D50" s="7" t="inlineStr">
        <is>
          <t>New_Customers</t>
        </is>
      </c>
      <c r="E50" s="7" t="n">
        <v>246206</v>
      </c>
      <c r="F50" s="7" t="n">
        <v>5025</v>
      </c>
      <c r="G50" s="7" t="n">
        <v>48</v>
      </c>
      <c r="H50" s="6" t="n">
        <v>2914.57</v>
      </c>
      <c r="I50" s="6" t="n">
        <v>4091.37</v>
      </c>
      <c r="J50" s="7" t="n">
        <v>48</v>
      </c>
    </row>
    <row r="51">
      <c r="A51" s="7" t="inlineStr">
        <is>
          <t>2024-12-13</t>
        </is>
      </c>
      <c r="B51" s="7" t="inlineStr">
        <is>
          <t>UGC_Content_Campaign</t>
        </is>
      </c>
      <c r="C51" s="7" t="inlineStr">
        <is>
          <t>TikTok_Ads</t>
        </is>
      </c>
      <c r="D51" s="7" t="inlineStr">
        <is>
          <t>New_Customers</t>
        </is>
      </c>
      <c r="E51" s="7" t="n">
        <v>196720</v>
      </c>
      <c r="F51" s="7" t="n">
        <v>3617</v>
      </c>
      <c r="G51" s="7" t="n">
        <v>42</v>
      </c>
      <c r="H51" s="6" t="n">
        <v>2243.09</v>
      </c>
      <c r="I51" s="6" t="n">
        <v>3867.49</v>
      </c>
      <c r="J51" s="7" t="n">
        <v>42</v>
      </c>
    </row>
    <row r="52">
      <c r="A52" s="7" t="inlineStr">
        <is>
          <t>2024-12-13</t>
        </is>
      </c>
      <c r="B52" s="7" t="inlineStr">
        <is>
          <t>Weekly_Newsletter</t>
        </is>
      </c>
      <c r="C52" s="7" t="inlineStr">
        <is>
          <t>Email</t>
        </is>
      </c>
      <c r="D52" s="7" t="inlineStr">
        <is>
          <t>Loyalty</t>
        </is>
      </c>
      <c r="E52" s="7" t="inlineStr"/>
      <c r="F52" s="7" t="n">
        <v>12441</v>
      </c>
      <c r="G52" s="7" t="n">
        <v>264</v>
      </c>
      <c r="H52" s="6" t="n">
        <v>248.19</v>
      </c>
      <c r="I52" s="6" t="n">
        <v>25814.6</v>
      </c>
      <c r="J52" s="7" t="n">
        <v>264</v>
      </c>
    </row>
    <row r="53">
      <c r="A53" s="7" t="inlineStr">
        <is>
          <t>2024-12-13</t>
        </is>
      </c>
      <c r="B53" s="7" t="inlineStr">
        <is>
          <t>Abandoned_Cart_Sequence</t>
        </is>
      </c>
      <c r="C53" s="7" t="inlineStr">
        <is>
          <t>Email</t>
        </is>
      </c>
      <c r="D53" s="7" t="inlineStr">
        <is>
          <t>Retargeting</t>
        </is>
      </c>
      <c r="E53" s="7" t="inlineStr"/>
      <c r="F53" s="7" t="n">
        <v>2239</v>
      </c>
      <c r="G53" s="7" t="n">
        <v>76</v>
      </c>
      <c r="H53" s="6" t="n">
        <v>22.16</v>
      </c>
      <c r="I53" s="6" t="n">
        <v>8759.469999999999</v>
      </c>
      <c r="J53" s="7" t="n">
        <v>76</v>
      </c>
    </row>
    <row r="54">
      <c r="A54" s="7" t="inlineStr">
        <is>
          <t>2024-12-14</t>
        </is>
      </c>
      <c r="B54" s="7" t="inlineStr">
        <is>
          <t>Holiday_Sale_Prospecting</t>
        </is>
      </c>
      <c r="C54" s="7" t="inlineStr">
        <is>
          <t>Facebook_Ads</t>
        </is>
      </c>
      <c r="D54" s="7" t="inlineStr">
        <is>
          <t>New_Customers</t>
        </is>
      </c>
      <c r="E54" s="7" t="n">
        <v>122502</v>
      </c>
      <c r="F54" s="7" t="n">
        <v>3099</v>
      </c>
      <c r="G54" s="7" t="n">
        <v>82</v>
      </c>
      <c r="H54" s="6" t="n">
        <v>2014.76</v>
      </c>
      <c r="I54" s="6" t="n">
        <v>7543.44</v>
      </c>
      <c r="J54" s="7" t="n">
        <v>82</v>
      </c>
    </row>
    <row r="55">
      <c r="A55" s="7" t="inlineStr">
        <is>
          <t>2024-12-14</t>
        </is>
      </c>
      <c r="B55" s="7" t="inlineStr">
        <is>
          <t>Holiday_Sale_Retargeting</t>
        </is>
      </c>
      <c r="C55" s="7" t="inlineStr">
        <is>
          <t>Facebook_Ads</t>
        </is>
      </c>
      <c r="D55" s="7" t="inlineStr">
        <is>
          <t>Retargeting</t>
        </is>
      </c>
      <c r="E55" s="7" t="n">
        <v>51535</v>
      </c>
      <c r="F55" s="7" t="n">
        <v>2060</v>
      </c>
      <c r="G55" s="7" t="n">
        <v>128</v>
      </c>
      <c r="H55" s="6" t="n">
        <v>1690.24</v>
      </c>
      <c r="I55" s="6" t="n">
        <v>13796.31</v>
      </c>
      <c r="J55" s="7" t="n">
        <v>128</v>
      </c>
    </row>
    <row r="56">
      <c r="A56" s="7" t="inlineStr">
        <is>
          <t>2024-12-14</t>
        </is>
      </c>
      <c r="B56" s="7" t="inlineStr">
        <is>
          <t>Product_Launch_Awareness</t>
        </is>
      </c>
      <c r="C56" s="7" t="inlineStr">
        <is>
          <t>Facebook_Ads</t>
        </is>
      </c>
      <c r="D56" s="7" t="inlineStr">
        <is>
          <t>New_Customers</t>
        </is>
      </c>
      <c r="E56" s="7" t="n">
        <v>108171</v>
      </c>
      <c r="F56" s="7" t="n">
        <v>2459</v>
      </c>
      <c r="G56" s="7" t="n">
        <v>42</v>
      </c>
      <c r="H56" s="6" t="n">
        <v>1722.33</v>
      </c>
      <c r="I56" s="6" t="n">
        <v>3760.89</v>
      </c>
      <c r="J56" s="7" t="n">
        <v>42</v>
      </c>
    </row>
    <row r="57">
      <c r="A57" s="7" t="inlineStr">
        <is>
          <t>2024-12-14</t>
        </is>
      </c>
      <c r="B57" s="7" t="inlineStr">
        <is>
          <t>Brand_Search</t>
        </is>
      </c>
      <c r="C57" s="7" t="inlineStr">
        <is>
          <t>Google_Ads</t>
        </is>
      </c>
      <c r="D57" s="7" t="inlineStr">
        <is>
          <t>New_Customers</t>
        </is>
      </c>
      <c r="E57" s="7" t="n">
        <v>16865</v>
      </c>
      <c r="F57" s="7" t="n">
        <v>836</v>
      </c>
      <c r="G57" s="7" t="n">
        <v>102</v>
      </c>
      <c r="H57" s="6" t="n">
        <v>878.28</v>
      </c>
      <c r="I57" s="6" t="n">
        <v>10522.21</v>
      </c>
      <c r="J57" s="7" t="n">
        <v>102</v>
      </c>
    </row>
    <row r="58">
      <c r="A58" s="7" t="inlineStr">
        <is>
          <t>2024-12-14</t>
        </is>
      </c>
      <c r="B58" s="7" t="inlineStr">
        <is>
          <t>Shopping_Campaigns</t>
        </is>
      </c>
      <c r="C58" s="7" t="inlineStr">
        <is>
          <t>Google_Ads</t>
        </is>
      </c>
      <c r="D58" s="7" t="inlineStr">
        <is>
          <t>New_Customers</t>
        </is>
      </c>
      <c r="E58" s="7" t="n">
        <v>97118</v>
      </c>
      <c r="F58" s="7" t="n">
        <v>2405</v>
      </c>
      <c r="G58" s="7" t="n">
        <v>71</v>
      </c>
      <c r="H58" s="6" t="n">
        <v>2044.21</v>
      </c>
      <c r="I58" s="6" t="n">
        <v>6659.16</v>
      </c>
      <c r="J58" s="7" t="n">
        <v>71</v>
      </c>
    </row>
    <row r="59">
      <c r="A59" s="7" t="inlineStr">
        <is>
          <t>2024-12-14</t>
        </is>
      </c>
      <c r="B59" s="7" t="inlineStr">
        <is>
          <t>Dynamic_Remarketing</t>
        </is>
      </c>
      <c r="C59" s="7" t="inlineStr">
        <is>
          <t>Google_Ads</t>
        </is>
      </c>
      <c r="D59" s="7" t="inlineStr">
        <is>
          <t>Retargeting</t>
        </is>
      </c>
      <c r="E59" s="7" t="n">
        <v>36580</v>
      </c>
      <c r="F59" s="7" t="n">
        <v>1376</v>
      </c>
      <c r="G59" s="7" t="n">
        <v>71</v>
      </c>
      <c r="H59" s="6" t="n">
        <v>1307.7</v>
      </c>
      <c r="I59" s="6" t="n">
        <v>7916.99</v>
      </c>
      <c r="J59" s="7" t="n">
        <v>71</v>
      </c>
    </row>
    <row r="60">
      <c r="A60" s="7" t="inlineStr">
        <is>
          <t>2024-12-14</t>
        </is>
      </c>
      <c r="B60" s="7" t="inlineStr">
        <is>
          <t>Influencer_Collab_Video</t>
        </is>
      </c>
      <c r="C60" s="7" t="inlineStr">
        <is>
          <t>TikTok_Ads</t>
        </is>
      </c>
      <c r="D60" s="7" t="inlineStr">
        <is>
          <t>New_Customers</t>
        </is>
      </c>
      <c r="E60" s="7" t="n">
        <v>288459</v>
      </c>
      <c r="F60" s="7" t="n">
        <v>5887</v>
      </c>
      <c r="G60" s="7" t="n">
        <v>56</v>
      </c>
      <c r="H60" s="6" t="n">
        <v>3414.75</v>
      </c>
      <c r="I60" s="6" t="n">
        <v>4793.5</v>
      </c>
      <c r="J60" s="7" t="n">
        <v>56</v>
      </c>
    </row>
    <row r="61">
      <c r="A61" s="7" t="inlineStr">
        <is>
          <t>2024-12-14</t>
        </is>
      </c>
      <c r="B61" s="7" t="inlineStr">
        <is>
          <t>UGC_Content_Campaign</t>
        </is>
      </c>
      <c r="C61" s="7" t="inlineStr">
        <is>
          <t>TikTok_Ads</t>
        </is>
      </c>
      <c r="D61" s="7" t="inlineStr">
        <is>
          <t>New_Customers</t>
        </is>
      </c>
      <c r="E61" s="7" t="n">
        <v>198824</v>
      </c>
      <c r="F61" s="7" t="n">
        <v>3656</v>
      </c>
      <c r="G61" s="7" t="n">
        <v>43</v>
      </c>
      <c r="H61" s="6" t="n">
        <v>2267.07</v>
      </c>
      <c r="I61" s="6" t="n">
        <v>3908.85</v>
      </c>
      <c r="J61" s="7" t="n">
        <v>43</v>
      </c>
    </row>
    <row r="62">
      <c r="A62" s="7" t="inlineStr">
        <is>
          <t>2024-12-14</t>
        </is>
      </c>
      <c r="B62" s="7" t="inlineStr">
        <is>
          <t>Weekly_Newsletter</t>
        </is>
      </c>
      <c r="C62" s="7" t="inlineStr">
        <is>
          <t>Email</t>
        </is>
      </c>
      <c r="D62" s="7" t="inlineStr">
        <is>
          <t>Loyalty</t>
        </is>
      </c>
      <c r="E62" s="7" t="inlineStr"/>
      <c r="F62" s="7" t="n">
        <v>12218</v>
      </c>
      <c r="G62" s="7" t="n">
        <v>259</v>
      </c>
      <c r="H62" s="6" t="n">
        <v>243.75</v>
      </c>
      <c r="I62" s="6" t="n">
        <v>25352.37</v>
      </c>
      <c r="J62" s="7" t="n">
        <v>259</v>
      </c>
    </row>
    <row r="63">
      <c r="A63" s="7" t="inlineStr">
        <is>
          <t>2024-12-14</t>
        </is>
      </c>
      <c r="B63" s="7" t="inlineStr">
        <is>
          <t>Abandoned_Cart_Sequence</t>
        </is>
      </c>
      <c r="C63" s="7" t="inlineStr">
        <is>
          <t>Email</t>
        </is>
      </c>
      <c r="D63" s="7" t="inlineStr">
        <is>
          <t>Retargeting</t>
        </is>
      </c>
      <c r="E63" s="7" t="inlineStr"/>
      <c r="F63" s="7" t="n">
        <v>1997</v>
      </c>
      <c r="G63" s="7" t="n">
        <v>68</v>
      </c>
      <c r="H63" s="6" t="n">
        <v>19.77</v>
      </c>
      <c r="I63" s="6" t="n">
        <v>7814.03</v>
      </c>
      <c r="J63" s="7" t="n">
        <v>68</v>
      </c>
    </row>
    <row r="64">
      <c r="A64" s="7" t="inlineStr">
        <is>
          <t>2024-12-15</t>
        </is>
      </c>
      <c r="B64" s="7" t="inlineStr">
        <is>
          <t>Holiday_Sale_Prospecting</t>
        </is>
      </c>
      <c r="C64" s="7" t="inlineStr">
        <is>
          <t>Facebook_Ads</t>
        </is>
      </c>
      <c r="D64" s="7" t="inlineStr">
        <is>
          <t>New_Customers</t>
        </is>
      </c>
      <c r="E64" s="7" t="n">
        <v>148254</v>
      </c>
      <c r="F64" s="7" t="n">
        <v>3750</v>
      </c>
      <c r="G64" s="7" t="n">
        <v>99</v>
      </c>
      <c r="H64" s="6" t="n">
        <v>2438.3</v>
      </c>
      <c r="I64" s="6" t="n">
        <v>9129.18</v>
      </c>
      <c r="J64" s="7" t="n">
        <v>99</v>
      </c>
    </row>
    <row r="65">
      <c r="A65" s="7" t="inlineStr">
        <is>
          <t>2024-12-15</t>
        </is>
      </c>
      <c r="B65" s="7" t="inlineStr">
        <is>
          <t>Holiday_Sale_Retargeting</t>
        </is>
      </c>
      <c r="C65" s="7" t="inlineStr">
        <is>
          <t>Facebook_Ads</t>
        </is>
      </c>
      <c r="D65" s="7" t="inlineStr">
        <is>
          <t>Retargeting</t>
        </is>
      </c>
      <c r="E65" s="7" t="n">
        <v>39875</v>
      </c>
      <c r="F65" s="7" t="n">
        <v>1594</v>
      </c>
      <c r="G65" s="7" t="n">
        <v>99</v>
      </c>
      <c r="H65" s="6" t="n">
        <v>1307.8</v>
      </c>
      <c r="I65" s="6" t="n">
        <v>10674.73</v>
      </c>
      <c r="J65" s="7" t="n">
        <v>99</v>
      </c>
    </row>
    <row r="66">
      <c r="A66" s="7" t="inlineStr">
        <is>
          <t>2024-12-15</t>
        </is>
      </c>
      <c r="B66" s="7" t="inlineStr">
        <is>
          <t>Product_Launch_Awareness</t>
        </is>
      </c>
      <c r="C66" s="7" t="inlineStr">
        <is>
          <t>Facebook_Ads</t>
        </is>
      </c>
      <c r="D66" s="7" t="inlineStr">
        <is>
          <t>New_Customers</t>
        </is>
      </c>
      <c r="E66" s="7" t="n">
        <v>94547</v>
      </c>
      <c r="F66" s="7" t="n">
        <v>2150</v>
      </c>
      <c r="G66" s="7" t="n">
        <v>37</v>
      </c>
      <c r="H66" s="6" t="n">
        <v>1505.4</v>
      </c>
      <c r="I66" s="6" t="n">
        <v>3287.21</v>
      </c>
      <c r="J66" s="7" t="n">
        <v>37</v>
      </c>
    </row>
    <row r="67">
      <c r="A67" s="7" t="inlineStr">
        <is>
          <t>2024-12-15</t>
        </is>
      </c>
      <c r="B67" s="7" t="inlineStr">
        <is>
          <t>Brand_Search</t>
        </is>
      </c>
      <c r="C67" s="7" t="inlineStr">
        <is>
          <t>Google_Ads</t>
        </is>
      </c>
      <c r="D67" s="7" t="inlineStr">
        <is>
          <t>New_Customers</t>
        </is>
      </c>
      <c r="E67" s="7" t="n">
        <v>17314</v>
      </c>
      <c r="F67" s="7" t="n">
        <v>858</v>
      </c>
      <c r="G67" s="7" t="n">
        <v>105</v>
      </c>
      <c r="H67" s="6" t="n">
        <v>901.63</v>
      </c>
      <c r="I67" s="6" t="n">
        <v>10801.97</v>
      </c>
      <c r="J67" s="7" t="n">
        <v>105</v>
      </c>
    </row>
    <row r="68">
      <c r="A68" s="7" t="inlineStr">
        <is>
          <t>2024-12-15</t>
        </is>
      </c>
      <c r="B68" s="7" t="inlineStr">
        <is>
          <t>Shopping_Campaigns</t>
        </is>
      </c>
      <c r="C68" s="7" t="inlineStr">
        <is>
          <t>Google_Ads</t>
        </is>
      </c>
      <c r="D68" s="7" t="inlineStr">
        <is>
          <t>New_Customers</t>
        </is>
      </c>
      <c r="E68" s="7" t="n">
        <v>77732</v>
      </c>
      <c r="F68" s="7" t="n">
        <v>1925</v>
      </c>
      <c r="G68" s="7" t="n">
        <v>57</v>
      </c>
      <c r="H68" s="6" t="n">
        <v>1636.15</v>
      </c>
      <c r="I68" s="6" t="n">
        <v>5329.89</v>
      </c>
      <c r="J68" s="7" t="n">
        <v>57</v>
      </c>
    </row>
    <row r="69">
      <c r="A69" s="7" t="inlineStr">
        <is>
          <t>2024-12-15</t>
        </is>
      </c>
      <c r="B69" s="7" t="inlineStr">
        <is>
          <t>Dynamic_Remarketing</t>
        </is>
      </c>
      <c r="C69" s="7" t="inlineStr">
        <is>
          <t>Google_Ads</t>
        </is>
      </c>
      <c r="D69" s="7" t="inlineStr">
        <is>
          <t>Retargeting</t>
        </is>
      </c>
      <c r="E69" s="7" t="n">
        <v>44838</v>
      </c>
      <c r="F69" s="7" t="n">
        <v>1687</v>
      </c>
      <c r="G69" s="7" t="n">
        <v>87</v>
      </c>
      <c r="H69" s="6" t="n">
        <v>1602.91</v>
      </c>
      <c r="I69" s="6" t="n">
        <v>9704.219999999999</v>
      </c>
      <c r="J69" s="7" t="n">
        <v>87</v>
      </c>
    </row>
    <row r="70">
      <c r="A70" s="7" t="inlineStr">
        <is>
          <t>2024-12-15</t>
        </is>
      </c>
      <c r="B70" s="7" t="inlineStr">
        <is>
          <t>Influencer_Collab_Video</t>
        </is>
      </c>
      <c r="C70" s="7" t="inlineStr">
        <is>
          <t>TikTok_Ads</t>
        </is>
      </c>
      <c r="D70" s="7" t="inlineStr">
        <is>
          <t>New_Customers</t>
        </is>
      </c>
      <c r="E70" s="7" t="n">
        <v>255412</v>
      </c>
      <c r="F70" s="7" t="n">
        <v>5212</v>
      </c>
      <c r="G70" s="7" t="n">
        <v>50</v>
      </c>
      <c r="H70" s="6" t="n">
        <v>3023.54</v>
      </c>
      <c r="I70" s="6" t="n">
        <v>4244.34</v>
      </c>
      <c r="J70" s="7" t="n">
        <v>50</v>
      </c>
    </row>
    <row r="71">
      <c r="A71" s="7" t="inlineStr">
        <is>
          <t>2024-12-15</t>
        </is>
      </c>
      <c r="B71" s="7" t="inlineStr">
        <is>
          <t>UGC_Content_Campaign</t>
        </is>
      </c>
      <c r="C71" s="7" t="inlineStr">
        <is>
          <t>TikTok_Ads</t>
        </is>
      </c>
      <c r="D71" s="7" t="inlineStr">
        <is>
          <t>New_Customers</t>
        </is>
      </c>
      <c r="E71" s="7" t="n">
        <v>180494</v>
      </c>
      <c r="F71" s="7" t="n">
        <v>3319</v>
      </c>
      <c r="G71" s="7" t="n">
        <v>39</v>
      </c>
      <c r="H71" s="6" t="n">
        <v>2058.07</v>
      </c>
      <c r="I71" s="6" t="n">
        <v>3548.49</v>
      </c>
      <c r="J71" s="7" t="n">
        <v>39</v>
      </c>
    </row>
    <row r="72">
      <c r="A72" s="7" t="inlineStr">
        <is>
          <t>2024-12-15</t>
        </is>
      </c>
      <c r="B72" s="7" t="inlineStr">
        <is>
          <t>Weekly_Newsletter</t>
        </is>
      </c>
      <c r="C72" s="7" t="inlineStr">
        <is>
          <t>Email</t>
        </is>
      </c>
      <c r="D72" s="7" t="inlineStr">
        <is>
          <t>Loyalty</t>
        </is>
      </c>
      <c r="E72" s="7" t="inlineStr"/>
      <c r="F72" s="7" t="n">
        <v>11379</v>
      </c>
      <c r="G72" s="7" t="n">
        <v>242</v>
      </c>
      <c r="H72" s="6" t="n">
        <v>227</v>
      </c>
      <c r="I72" s="6" t="n">
        <v>23610.74</v>
      </c>
      <c r="J72" s="7" t="n">
        <v>242</v>
      </c>
    </row>
    <row r="73">
      <c r="A73" s="7" t="inlineStr">
        <is>
          <t>2024-12-15</t>
        </is>
      </c>
      <c r="B73" s="7" t="inlineStr">
        <is>
          <t>Abandoned_Cart_Sequence</t>
        </is>
      </c>
      <c r="C73" s="7" t="inlineStr">
        <is>
          <t>Email</t>
        </is>
      </c>
      <c r="D73" s="7" t="inlineStr">
        <is>
          <t>Retargeting</t>
        </is>
      </c>
      <c r="E73" s="7" t="inlineStr"/>
      <c r="F73" s="7" t="n">
        <v>2355</v>
      </c>
      <c r="G73" s="7" t="n">
        <v>80</v>
      </c>
      <c r="H73" s="6" t="n">
        <v>23.31</v>
      </c>
      <c r="I73" s="6" t="n">
        <v>9214.99</v>
      </c>
      <c r="J73" s="7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0" customWidth="1" min="3" max="3"/>
    <col width="40" customWidth="1" min="4" max="4"/>
    <col width="20" customWidth="1" min="5" max="5"/>
    <col width="13" customWidth="1" min="6" max="6"/>
    <col width="40" customWidth="1" min="7" max="7"/>
    <col width="20" customWidth="1" min="8" max="8"/>
    <col width="12" customWidth="1" min="9" max="9"/>
    <col width="40" customWidth="1" min="10" max="10"/>
    <col width="13" customWidth="1" min="11" max="11"/>
  </cols>
  <sheetData>
    <row r="1">
      <c r="A1" s="1" t="inlineStr">
        <is>
          <t>Funnel Performance — CTR &amp; CVR by Channel</t>
        </is>
      </c>
    </row>
    <row r="2">
      <c r="A2" s="14" t="inlineStr">
        <is>
          <t>CTR = Clicks / Impressions  |  CVR = Conversions / Clicks</t>
        </is>
      </c>
    </row>
    <row r="3"/>
    <row r="4">
      <c r="A4" s="4" t="inlineStr">
        <is>
          <t>Channel</t>
        </is>
      </c>
      <c r="B4" s="4" t="inlineStr">
        <is>
          <t>Impressions</t>
        </is>
      </c>
      <c r="C4" s="4" t="inlineStr">
        <is>
          <t>Clicks</t>
        </is>
      </c>
      <c r="D4" s="4" t="inlineStr">
        <is>
          <t>Conversions</t>
        </is>
      </c>
      <c r="E4" s="4" t="inlineStr">
        <is>
          <t>CTR</t>
        </is>
      </c>
      <c r="F4" s="4" t="inlineStr">
        <is>
          <t>CTR Bench</t>
        </is>
      </c>
      <c r="G4" s="4" t="inlineStr">
        <is>
          <t>CTR Δ</t>
        </is>
      </c>
      <c r="H4" s="4" t="inlineStr">
        <is>
          <t>CVR</t>
        </is>
      </c>
      <c r="I4" s="4" t="inlineStr">
        <is>
          <t>CVR Bench</t>
        </is>
      </c>
      <c r="J4" s="4" t="inlineStr">
        <is>
          <t>CVR Δ</t>
        </is>
      </c>
      <c r="K4" s="4" t="inlineStr">
        <is>
          <t>Verdict</t>
        </is>
      </c>
    </row>
    <row r="5">
      <c r="A5" s="5" t="inlineStr">
        <is>
          <t>Email</t>
        </is>
      </c>
      <c r="B5" s="15">
        <f>SUMIF('Raw Data'!$C$4:$C$73,"Email",'Raw Data'!$E$4:$E$73)</f>
        <v/>
      </c>
      <c r="C5" s="15">
        <f>SUMIF('Raw Data'!$C$4:$C$73,"Email",'Raw Data'!$F$4:$F$73)</f>
        <v/>
      </c>
      <c r="D5" s="15">
        <f>SUMIF('Raw Data'!$C$4:$C$73,"Email",'Raw Data'!$G$4:$G$73)</f>
        <v/>
      </c>
      <c r="E5" s="7" t="inlineStr">
        <is>
          <t>N/A</t>
        </is>
      </c>
      <c r="F5" s="7" t="inlineStr">
        <is>
          <t>15.0%</t>
        </is>
      </c>
      <c r="G5" s="7" t="inlineStr">
        <is>
          <t>N/A</t>
        </is>
      </c>
      <c r="H5" s="16">
        <f>IF(C5=0,"",D5/C5)</f>
        <v/>
      </c>
      <c r="I5" s="7" t="inlineStr">
        <is>
          <t>2.1%</t>
        </is>
      </c>
      <c r="J5" s="16">
        <f>IF(OR(C5=0,H5=""),"",H5-VALUE(LEFT(I5,LEN(I5)-1))/100)</f>
        <v/>
      </c>
      <c r="K5" s="7" t="inlineStr">
        <is>
          <t>CVR✓</t>
        </is>
      </c>
    </row>
    <row r="6">
      <c r="A6" s="5" t="inlineStr">
        <is>
          <t>Google_Ads</t>
        </is>
      </c>
      <c r="B6" s="15">
        <f>SUMIF('Raw Data'!$C$4:$C$73,"Google_Ads",'Raw Data'!$E$4:$E$73)</f>
        <v/>
      </c>
      <c r="C6" s="15">
        <f>SUMIF('Raw Data'!$C$4:$C$73,"Google_Ads",'Raw Data'!$F$4:$F$73)</f>
        <v/>
      </c>
      <c r="D6" s="15">
        <f>SUMIF('Raw Data'!$C$4:$C$73,"Google_Ads",'Raw Data'!$G$4:$G$73)</f>
        <v/>
      </c>
      <c r="E6" s="16">
        <f>IF(B6=0,"",C6/B6)</f>
        <v/>
      </c>
      <c r="F6" s="7" t="inlineStr">
        <is>
          <t>5.0%</t>
        </is>
      </c>
      <c r="G6" s="16">
        <f>IF(OR(B6=0,E6=""),"",E6-VALUE(LEFT(F6,LEN(F6)-1))/100)</f>
        <v/>
      </c>
      <c r="H6" s="16">
        <f>IF(C6=0,"",D6/C6)</f>
        <v/>
      </c>
      <c r="I6" s="7" t="inlineStr">
        <is>
          <t>4.5%</t>
        </is>
      </c>
      <c r="J6" s="16">
        <f>IF(OR(C6=0,H6=""),"",H6-VALUE(LEFT(I6,LEN(I6)-1))/100)</f>
        <v/>
      </c>
      <c r="K6" s="7" t="inlineStr">
        <is>
          <t>CTR✓ | CVR✓</t>
        </is>
      </c>
    </row>
    <row r="7">
      <c r="A7" s="5" t="inlineStr">
        <is>
          <t>Facebook_Ads</t>
        </is>
      </c>
      <c r="B7" s="15">
        <f>SUMIF('Raw Data'!$C$4:$C$73,"Facebook_Ads",'Raw Data'!$E$4:$E$73)</f>
        <v/>
      </c>
      <c r="C7" s="15">
        <f>SUMIF('Raw Data'!$C$4:$C$73,"Facebook_Ads",'Raw Data'!$F$4:$F$73)</f>
        <v/>
      </c>
      <c r="D7" s="15">
        <f>SUMIF('Raw Data'!$C$4:$C$73,"Facebook_Ads",'Raw Data'!$G$4:$G$73)</f>
        <v/>
      </c>
      <c r="E7" s="16">
        <f>IF(B7=0,"",C7/B7)</f>
        <v/>
      </c>
      <c r="F7" s="7" t="inlineStr">
        <is>
          <t>2.5%</t>
        </is>
      </c>
      <c r="G7" s="16">
        <f>IF(OR(B7=0,E7=""),"",E7-VALUE(LEFT(F7,LEN(F7)-1))/100)</f>
        <v/>
      </c>
      <c r="H7" s="16">
        <f>IF(C7=0,"",D7/C7)</f>
        <v/>
      </c>
      <c r="I7" s="7" t="inlineStr">
        <is>
          <t>3.8%</t>
        </is>
      </c>
      <c r="J7" s="16">
        <f>IF(OR(C7=0,H7=""),"",H7-VALUE(LEFT(I7,LEN(I7)-1))/100)</f>
        <v/>
      </c>
      <c r="K7" s="7" t="inlineStr">
        <is>
          <t>CTR✓ | CVR✓</t>
        </is>
      </c>
    </row>
    <row r="8">
      <c r="A8" s="5" t="inlineStr">
        <is>
          <t>TikTok_Ads</t>
        </is>
      </c>
      <c r="B8" s="15">
        <f>SUMIF('Raw Data'!$C$4:$C$73,"TikTok_Ads",'Raw Data'!$E$4:$E$73)</f>
        <v/>
      </c>
      <c r="C8" s="15">
        <f>SUMIF('Raw Data'!$C$4:$C$73,"TikTok_Ads",'Raw Data'!$F$4:$F$73)</f>
        <v/>
      </c>
      <c r="D8" s="15">
        <f>SUMIF('Raw Data'!$C$4:$C$73,"TikTok_Ads",'Raw Data'!$G$4:$G$73)</f>
        <v/>
      </c>
      <c r="E8" s="16">
        <f>IF(B8=0,"",C8/B8)</f>
        <v/>
      </c>
      <c r="F8" s="7" t="inlineStr">
        <is>
          <t>2.0%</t>
        </is>
      </c>
      <c r="G8" s="16">
        <f>IF(OR(B8=0,E8=""),"",E8-VALUE(LEFT(F8,LEN(F8)-1))/100)</f>
        <v/>
      </c>
      <c r="H8" s="16">
        <f>IF(C8=0,"",D8/C8)</f>
        <v/>
      </c>
      <c r="I8" s="7" t="inlineStr">
        <is>
          <t>0.9%</t>
        </is>
      </c>
      <c r="J8" s="16">
        <f>IF(OR(C8=0,H8=""),"",H8-VALUE(LEFT(I8,LEN(I8)-1))/100)</f>
        <v/>
      </c>
      <c r="K8" s="7" t="inlineStr">
        <is>
          <t>CTR✓ | CVR✓</t>
        </is>
      </c>
    </row>
    <row r="9"/>
    <row r="10">
      <c r="A10" s="2" t="inlineStr">
        <is>
          <t>Per-Campaign Funnel Breakdown</t>
        </is>
      </c>
    </row>
    <row r="11">
      <c r="A11" s="4" t="inlineStr">
        <is>
          <t>Campaign</t>
        </is>
      </c>
      <c r="B11" s="4" t="inlineStr">
        <is>
          <t>Channel</t>
        </is>
      </c>
      <c r="C11" s="4" t="inlineStr">
        <is>
          <t>Segment</t>
        </is>
      </c>
      <c r="D11" s="4" t="inlineStr">
        <is>
          <t>Impressions</t>
        </is>
      </c>
      <c r="E11" s="4" t="inlineStr">
        <is>
          <t>Clicks</t>
        </is>
      </c>
      <c r="F11" s="4" t="inlineStr">
        <is>
          <t>Conversions</t>
        </is>
      </c>
      <c r="G11" s="4" t="inlineStr">
        <is>
          <t>CTR</t>
        </is>
      </c>
      <c r="H11" s="4" t="inlineStr">
        <is>
          <t>CVR</t>
        </is>
      </c>
    </row>
    <row r="12">
      <c r="A12" s="7" t="inlineStr">
        <is>
          <t>Abandoned_Cart_Sequence</t>
        </is>
      </c>
      <c r="B12" s="7" t="inlineStr">
        <is>
          <t>Email</t>
        </is>
      </c>
      <c r="C12" s="7" t="inlineStr">
        <is>
          <t>Retargeting</t>
        </is>
      </c>
      <c r="D12" s="7" t="inlineStr">
        <is>
          <t>N/A</t>
        </is>
      </c>
      <c r="E12" s="7" t="n">
        <v>16159</v>
      </c>
      <c r="F12" s="7" t="n">
        <v>550</v>
      </c>
      <c r="G12" s="7" t="inlineStr">
        <is>
          <t>N/A</t>
        </is>
      </c>
      <c r="H12" s="8" t="inlineStr">
        <is>
          <t>3.40%</t>
        </is>
      </c>
    </row>
    <row r="13">
      <c r="A13" s="7" t="inlineStr">
        <is>
          <t>Brand_Search</t>
        </is>
      </c>
      <c r="B13" s="7" t="inlineStr">
        <is>
          <t>Google_Ads</t>
        </is>
      </c>
      <c r="C13" s="7" t="inlineStr">
        <is>
          <t>New_Customers</t>
        </is>
      </c>
      <c r="D13" s="7" t="inlineStr">
        <is>
          <t>111,144</t>
        </is>
      </c>
      <c r="E13" s="7" t="n">
        <v>5509</v>
      </c>
      <c r="F13" s="7" t="n">
        <v>674</v>
      </c>
      <c r="G13" s="10" t="inlineStr">
        <is>
          <t>4.96%</t>
        </is>
      </c>
      <c r="H13" s="8" t="inlineStr">
        <is>
          <t>12.23%</t>
        </is>
      </c>
    </row>
    <row r="14">
      <c r="A14" s="7" t="inlineStr">
        <is>
          <t>Dynamic_Remarketing</t>
        </is>
      </c>
      <c r="B14" s="7" t="inlineStr">
        <is>
          <t>Google_Ads</t>
        </is>
      </c>
      <c r="C14" s="7" t="inlineStr">
        <is>
          <t>Retargeting</t>
        </is>
      </c>
      <c r="D14" s="7" t="inlineStr">
        <is>
          <t>281,213</t>
        </is>
      </c>
      <c r="E14" s="7" t="n">
        <v>10580</v>
      </c>
      <c r="F14" s="7" t="n">
        <v>547</v>
      </c>
      <c r="G14" s="10" t="inlineStr">
        <is>
          <t>3.76%</t>
        </is>
      </c>
      <c r="H14" s="8" t="inlineStr">
        <is>
          <t>5.17%</t>
        </is>
      </c>
    </row>
    <row r="15">
      <c r="A15" s="7" t="inlineStr">
        <is>
          <t>Holiday_Sale_Prospecting</t>
        </is>
      </c>
      <c r="B15" s="7" t="inlineStr">
        <is>
          <t>Facebook_Ads</t>
        </is>
      </c>
      <c r="C15" s="7" t="inlineStr">
        <is>
          <t>New_Customers</t>
        </is>
      </c>
      <c r="D15" s="7" t="inlineStr">
        <is>
          <t>941,537</t>
        </is>
      </c>
      <c r="E15" s="7" t="n">
        <v>23818</v>
      </c>
      <c r="F15" s="7" t="n">
        <v>629</v>
      </c>
      <c r="G15" s="8" t="inlineStr">
        <is>
          <t>2.53%</t>
        </is>
      </c>
      <c r="H15" s="10" t="inlineStr">
        <is>
          <t>2.64%</t>
        </is>
      </c>
    </row>
    <row r="16">
      <c r="A16" s="7" t="inlineStr">
        <is>
          <t>Holiday_Sale_Retargeting</t>
        </is>
      </c>
      <c r="B16" s="7" t="inlineStr">
        <is>
          <t>Facebook_Ads</t>
        </is>
      </c>
      <c r="C16" s="7" t="inlineStr">
        <is>
          <t>Retargeting</t>
        </is>
      </c>
      <c r="D16" s="7" t="inlineStr">
        <is>
          <t>312,247</t>
        </is>
      </c>
      <c r="E16" s="7" t="n">
        <v>12484</v>
      </c>
      <c r="F16" s="7" t="n">
        <v>776</v>
      </c>
      <c r="G16" s="8" t="inlineStr">
        <is>
          <t>4.00%</t>
        </is>
      </c>
      <c r="H16" s="8" t="inlineStr">
        <is>
          <t>6.22%</t>
        </is>
      </c>
    </row>
    <row r="17">
      <c r="A17" s="7" t="inlineStr">
        <is>
          <t>Influencer_Collab_Video</t>
        </is>
      </c>
      <c r="B17" s="7" t="inlineStr">
        <is>
          <t>TikTok_Ads</t>
        </is>
      </c>
      <c r="C17" s="7" t="inlineStr">
        <is>
          <t>New_Customers</t>
        </is>
      </c>
      <c r="D17" s="7" t="inlineStr">
        <is>
          <t>1,856,502</t>
        </is>
      </c>
      <c r="E17" s="7" t="n">
        <v>37887</v>
      </c>
      <c r="F17" s="7" t="n">
        <v>360</v>
      </c>
      <c r="G17" s="8" t="inlineStr">
        <is>
          <t>2.04%</t>
        </is>
      </c>
      <c r="H17" s="8" t="inlineStr">
        <is>
          <t>0.95%</t>
        </is>
      </c>
    </row>
    <row r="18">
      <c r="A18" s="7" t="inlineStr">
        <is>
          <t>Product_Launch_Awareness</t>
        </is>
      </c>
      <c r="B18" s="7" t="inlineStr">
        <is>
          <t>Facebook_Ads</t>
        </is>
      </c>
      <c r="C18" s="7" t="inlineStr">
        <is>
          <t>New_Customers</t>
        </is>
      </c>
      <c r="D18" s="7" t="inlineStr">
        <is>
          <t>687,828</t>
        </is>
      </c>
      <c r="E18" s="7" t="n">
        <v>15638</v>
      </c>
      <c r="F18" s="7" t="n">
        <v>269</v>
      </c>
      <c r="G18" s="10" t="inlineStr">
        <is>
          <t>2.27%</t>
        </is>
      </c>
      <c r="H18" s="10" t="inlineStr">
        <is>
          <t>1.72%</t>
        </is>
      </c>
    </row>
    <row r="19">
      <c r="A19" s="7" t="inlineStr">
        <is>
          <t>Shopping_Campaigns</t>
        </is>
      </c>
      <c r="B19" s="7" t="inlineStr">
        <is>
          <t>Google_Ads</t>
        </is>
      </c>
      <c r="C19" s="7" t="inlineStr">
        <is>
          <t>New_Customers</t>
        </is>
      </c>
      <c r="D19" s="7" t="inlineStr">
        <is>
          <t>586,423</t>
        </is>
      </c>
      <c r="E19" s="7" t="n">
        <v>14524</v>
      </c>
      <c r="F19" s="7" t="n">
        <v>430</v>
      </c>
      <c r="G19" s="10" t="inlineStr">
        <is>
          <t>2.48%</t>
        </is>
      </c>
      <c r="H19" s="10" t="inlineStr">
        <is>
          <t>2.96%</t>
        </is>
      </c>
    </row>
    <row r="20">
      <c r="A20" s="7" t="inlineStr">
        <is>
          <t>UGC_Content_Campaign</t>
        </is>
      </c>
      <c r="B20" s="7" t="inlineStr">
        <is>
          <t>TikTok_Ads</t>
        </is>
      </c>
      <c r="C20" s="7" t="inlineStr">
        <is>
          <t>New_Customers</t>
        </is>
      </c>
      <c r="D20" s="7" t="inlineStr">
        <is>
          <t>1,403,723</t>
        </is>
      </c>
      <c r="E20" s="7" t="n">
        <v>25811</v>
      </c>
      <c r="F20" s="7" t="n">
        <v>303</v>
      </c>
      <c r="G20" s="10" t="inlineStr">
        <is>
          <t>1.84%</t>
        </is>
      </c>
      <c r="H20" s="8" t="inlineStr">
        <is>
          <t>1.17%</t>
        </is>
      </c>
    </row>
    <row r="21">
      <c r="A21" s="7" t="inlineStr">
        <is>
          <t>Weekly_Newsletter</t>
        </is>
      </c>
      <c r="B21" s="7" t="inlineStr">
        <is>
          <t>Email</t>
        </is>
      </c>
      <c r="C21" s="7" t="inlineStr">
        <is>
          <t>Loyalty</t>
        </is>
      </c>
      <c r="D21" s="7" t="inlineStr">
        <is>
          <t>N/A</t>
        </is>
      </c>
      <c r="E21" s="7" t="n">
        <v>84054</v>
      </c>
      <c r="F21" s="7" t="n">
        <v>1785</v>
      </c>
      <c r="G21" s="7" t="inlineStr">
        <is>
          <t>N/A</t>
        </is>
      </c>
      <c r="H21" s="8" t="inlineStr">
        <is>
          <t>2.12%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  <col width="40" customWidth="1" min="3" max="3"/>
    <col width="40" customWidth="1" min="4" max="4"/>
    <col width="20" customWidth="1" min="5" max="5"/>
    <col width="20" customWidth="1" min="6" max="6"/>
    <col width="40" customWidth="1" min="7" max="7"/>
    <col width="20" customWidth="1" min="8" max="8"/>
    <col width="24" customWidth="1" min="9" max="9"/>
    <col width="14" customWidth="1" min="10" max="10"/>
    <col width="16" customWidth="1" min="11" max="11"/>
    <col width="20" customWidth="1" min="12" max="12"/>
    <col width="12" customWidth="1" min="13" max="13"/>
  </cols>
  <sheetData>
    <row r="1">
      <c r="A1" s="1" t="inlineStr">
        <is>
          <t>Efficiency Performance — ROAS, CPA &amp; Net Profit</t>
        </is>
      </c>
    </row>
    <row r="2">
      <c r="A2" s="14" t="inlineStr">
        <is>
          <t>Shipping=$8/order | Product Cost=35% revenue | ROAS≥4.0x | CPA≤$50</t>
        </is>
      </c>
    </row>
    <row r="3"/>
    <row r="4">
      <c r="A4" s="4" t="inlineStr">
        <is>
          <t>Channel</t>
        </is>
      </c>
      <c r="B4" s="4" t="inlineStr">
        <is>
          <t>Revenue</t>
        </is>
      </c>
      <c r="C4" s="4" t="inlineStr">
        <is>
          <t>Spend</t>
        </is>
      </c>
      <c r="D4" s="4" t="inlineStr">
        <is>
          <t>Orders</t>
        </is>
      </c>
      <c r="E4" s="4" t="inlineStr">
        <is>
          <t>ROAS</t>
        </is>
      </c>
      <c r="F4" s="4" t="inlineStr">
        <is>
          <t>Target</t>
        </is>
      </c>
      <c r="G4" s="4" t="inlineStr">
        <is>
          <t>CPA</t>
        </is>
      </c>
      <c r="H4" s="4" t="inlineStr">
        <is>
          <t>Max</t>
        </is>
      </c>
      <c r="I4" s="4" t="inlineStr">
        <is>
          <t>Shipping</t>
        </is>
      </c>
      <c r="J4" s="4" t="inlineStr">
        <is>
          <t>Product Cost</t>
        </is>
      </c>
      <c r="K4" s="4" t="inlineStr">
        <is>
          <t>Net Profit</t>
        </is>
      </c>
      <c r="L4" s="4" t="inlineStr">
        <is>
          <t>Margin</t>
        </is>
      </c>
      <c r="M4" s="4" t="inlineStr">
        <is>
          <t>Verdict</t>
        </is>
      </c>
    </row>
    <row r="5">
      <c r="A5" s="5" t="inlineStr">
        <is>
          <t>Email</t>
        </is>
      </c>
      <c r="B5" s="6">
        <f>SUMIF('Raw Data'!$C$4:$C$73,"Email",'Raw Data'!$I$4:$I$73)</f>
        <v/>
      </c>
      <c r="C5" s="6">
        <f>SUMIF('Raw Data'!$C$4:$C$73,"Email",'Raw Data'!$H$4:$H$73)</f>
        <v/>
      </c>
      <c r="D5" s="15">
        <f>SUMIF('Raw Data'!$C$4:$C$73,"Email",'Raw Data'!$J$4:$J$73)</f>
        <v/>
      </c>
      <c r="E5" s="17">
        <f>IF(C5=0,"",B5/C5)</f>
        <v/>
      </c>
      <c r="F5" s="7" t="inlineStr">
        <is>
          <t>≥4.0x</t>
        </is>
      </c>
      <c r="G5" s="6">
        <f>IF(=SUMIF('Raw Data'!$C$4:$C$73,"Email",'Raw Data'!$G$4:$G$73)=0,"",C5/=SUMIF('Raw Data'!$C$4:$C$73,"Email",'Raw Data'!$G$4:$G$73))</f>
        <v/>
      </c>
      <c r="H5" s="7" t="inlineStr">
        <is>
          <t>≤$50</t>
        </is>
      </c>
      <c r="I5" s="6">
        <f>D5*8.0</f>
        <v/>
      </c>
      <c r="J5" s="6">
        <f>B5*0.35</f>
        <v/>
      </c>
      <c r="K5" s="6">
        <f>B5-(C5+I5+J5)</f>
        <v/>
      </c>
      <c r="L5" s="18">
        <f>IF(B5=0,"",K5/B5)</f>
        <v/>
      </c>
      <c r="M5" s="7" t="inlineStr"/>
    </row>
    <row r="6">
      <c r="A6" s="5" t="inlineStr">
        <is>
          <t>Google_Ads</t>
        </is>
      </c>
      <c r="B6" s="6">
        <f>SUMIF('Raw Data'!$C$4:$C$73,"Google_Ads",'Raw Data'!$I$4:$I$73)</f>
        <v/>
      </c>
      <c r="C6" s="6">
        <f>SUMIF('Raw Data'!$C$4:$C$73,"Google_Ads",'Raw Data'!$H$4:$H$73)</f>
        <v/>
      </c>
      <c r="D6" s="15">
        <f>SUMIF('Raw Data'!$C$4:$C$73,"Google_Ads",'Raw Data'!$J$4:$J$73)</f>
        <v/>
      </c>
      <c r="E6" s="17">
        <f>IF(C6=0,"",B6/C6)</f>
        <v/>
      </c>
      <c r="F6" s="7" t="inlineStr">
        <is>
          <t>≥4.0x</t>
        </is>
      </c>
      <c r="G6" s="6">
        <f>IF(=SUMIF('Raw Data'!$C$4:$C$73,"Google_Ads",'Raw Data'!$G$4:$G$73)=0,"",C6/=SUMIF('Raw Data'!$C$4:$C$73,"Google_Ads",'Raw Data'!$G$4:$G$73))</f>
        <v/>
      </c>
      <c r="H6" s="7" t="inlineStr">
        <is>
          <t>≤$50</t>
        </is>
      </c>
      <c r="I6" s="6">
        <f>D6*8.0</f>
        <v/>
      </c>
      <c r="J6" s="6">
        <f>B6*0.35</f>
        <v/>
      </c>
      <c r="K6" s="6">
        <f>B6-(C6+I6+J6)</f>
        <v/>
      </c>
      <c r="L6" s="18">
        <f>IF(B6=0,"",K6/B6)</f>
        <v/>
      </c>
      <c r="M6" s="7" t="inlineStr"/>
    </row>
    <row r="7">
      <c r="A7" s="5" t="inlineStr">
        <is>
          <t>Facebook_Ads</t>
        </is>
      </c>
      <c r="B7" s="6">
        <f>SUMIF('Raw Data'!$C$4:$C$73,"Facebook_Ads",'Raw Data'!$I$4:$I$73)</f>
        <v/>
      </c>
      <c r="C7" s="6">
        <f>SUMIF('Raw Data'!$C$4:$C$73,"Facebook_Ads",'Raw Data'!$H$4:$H$73)</f>
        <v/>
      </c>
      <c r="D7" s="15">
        <f>SUMIF('Raw Data'!$C$4:$C$73,"Facebook_Ads",'Raw Data'!$J$4:$J$73)</f>
        <v/>
      </c>
      <c r="E7" s="17">
        <f>IF(C7=0,"",B7/C7)</f>
        <v/>
      </c>
      <c r="F7" s="7" t="inlineStr">
        <is>
          <t>≥4.0x</t>
        </is>
      </c>
      <c r="G7" s="6">
        <f>IF(=SUMIF('Raw Data'!$C$4:$C$73,"Facebook_Ads",'Raw Data'!$G$4:$G$73)=0,"",C7/=SUMIF('Raw Data'!$C$4:$C$73,"Facebook_Ads",'Raw Data'!$G$4:$G$73))</f>
        <v/>
      </c>
      <c r="H7" s="7" t="inlineStr">
        <is>
          <t>≤$50</t>
        </is>
      </c>
      <c r="I7" s="6">
        <f>D7*8.0</f>
        <v/>
      </c>
      <c r="J7" s="6">
        <f>B7*0.35</f>
        <v/>
      </c>
      <c r="K7" s="6">
        <f>B7-(C7+I7+J7)</f>
        <v/>
      </c>
      <c r="L7" s="18">
        <f>IF(B7=0,"",K7/B7)</f>
        <v/>
      </c>
      <c r="M7" s="7" t="inlineStr"/>
    </row>
    <row r="8">
      <c r="A8" s="5" t="inlineStr">
        <is>
          <t>TikTok_Ads</t>
        </is>
      </c>
      <c r="B8" s="6">
        <f>SUMIF('Raw Data'!$C$4:$C$73,"TikTok_Ads",'Raw Data'!$I$4:$I$73)</f>
        <v/>
      </c>
      <c r="C8" s="6">
        <f>SUMIF('Raw Data'!$C$4:$C$73,"TikTok_Ads",'Raw Data'!$H$4:$H$73)</f>
        <v/>
      </c>
      <c r="D8" s="15">
        <f>SUMIF('Raw Data'!$C$4:$C$73,"TikTok_Ads",'Raw Data'!$J$4:$J$73)</f>
        <v/>
      </c>
      <c r="E8" s="17">
        <f>IF(C8=0,"",B8/C8)</f>
        <v/>
      </c>
      <c r="F8" s="7" t="inlineStr">
        <is>
          <t>≥4.0x</t>
        </is>
      </c>
      <c r="G8" s="6">
        <f>IF(=SUMIF('Raw Data'!$C$4:$C$73,"TikTok_Ads",'Raw Data'!$G$4:$G$73)=0,"",C8/=SUMIF('Raw Data'!$C$4:$C$73,"TikTok_Ads",'Raw Data'!$G$4:$G$73))</f>
        <v/>
      </c>
      <c r="H8" s="7" t="inlineStr">
        <is>
          <t>≤$50</t>
        </is>
      </c>
      <c r="I8" s="6">
        <f>D8*8.0</f>
        <v/>
      </c>
      <c r="J8" s="6">
        <f>B8*0.35</f>
        <v/>
      </c>
      <c r="K8" s="6">
        <f>B8-(C8+I8+J8)</f>
        <v/>
      </c>
      <c r="L8" s="18">
        <f>IF(B8=0,"",K8/B8)</f>
        <v/>
      </c>
      <c r="M8" s="7" t="inlineStr"/>
    </row>
    <row r="9"/>
    <row r="10">
      <c r="A10" s="2" t="inlineStr">
        <is>
          <t>Per-Campaign Efficiency Breakdown</t>
        </is>
      </c>
    </row>
    <row r="11">
      <c r="A11" s="4" t="inlineStr">
        <is>
          <t>Campaign</t>
        </is>
      </c>
      <c r="B11" s="4" t="inlineStr">
        <is>
          <t>Channel</t>
        </is>
      </c>
      <c r="C11" s="4" t="inlineStr">
        <is>
          <t>Revenue</t>
        </is>
      </c>
      <c r="D11" s="4" t="inlineStr">
        <is>
          <t>Spend</t>
        </is>
      </c>
      <c r="E11" s="4" t="inlineStr">
        <is>
          <t>Orders</t>
        </is>
      </c>
      <c r="F11" s="4" t="inlineStr">
        <is>
          <t>ROAS</t>
        </is>
      </c>
      <c r="G11" s="4" t="inlineStr">
        <is>
          <t>CPA</t>
        </is>
      </c>
      <c r="H11" s="4" t="inlineStr">
        <is>
          <t>Net Profit</t>
        </is>
      </c>
      <c r="I11" s="4" t="inlineStr">
        <is>
          <t>Verdict</t>
        </is>
      </c>
    </row>
    <row r="12">
      <c r="A12" s="7" t="inlineStr">
        <is>
          <t>Abandoned_Cart_Sequence</t>
        </is>
      </c>
      <c r="B12" s="7" t="inlineStr">
        <is>
          <t>Email</t>
        </is>
      </c>
      <c r="C12" s="6" t="n">
        <v>63223.37</v>
      </c>
      <c r="D12" s="6" t="n">
        <v>159.95</v>
      </c>
      <c r="E12" s="7" t="n">
        <v>550</v>
      </c>
      <c r="F12" s="8" t="inlineStr">
        <is>
          <t>395.27x</t>
        </is>
      </c>
      <c r="G12" s="8" t="inlineStr">
        <is>
          <t>$0.29</t>
        </is>
      </c>
      <c r="H12" s="9" t="n">
        <v>36535.24050000001</v>
      </c>
      <c r="I12" s="8" t="inlineStr">
        <is>
          <t>ROAS✓ | CPA✓ | Profit✓</t>
        </is>
      </c>
    </row>
    <row r="13">
      <c r="A13" s="7" t="inlineStr">
        <is>
          <t>Brand_Search</t>
        </is>
      </c>
      <c r="B13" s="7" t="inlineStr">
        <is>
          <t>Google_Ads</t>
        </is>
      </c>
      <c r="C13" s="6" t="n">
        <v>69342.09</v>
      </c>
      <c r="D13" s="6" t="n">
        <v>5787.91</v>
      </c>
      <c r="E13" s="7" t="n">
        <v>674</v>
      </c>
      <c r="F13" s="8" t="inlineStr">
        <is>
          <t>11.98x</t>
        </is>
      </c>
      <c r="G13" s="8" t="inlineStr">
        <is>
          <t>$8.59</t>
        </is>
      </c>
      <c r="H13" s="9" t="n">
        <v>33892.4485</v>
      </c>
      <c r="I13" s="8" t="inlineStr">
        <is>
          <t>ROAS✓ | CPA✓ | Profit✓</t>
        </is>
      </c>
    </row>
    <row r="14">
      <c r="A14" s="7" t="inlineStr">
        <is>
          <t>Dynamic_Remarketing</t>
        </is>
      </c>
      <c r="B14" s="7" t="inlineStr">
        <is>
          <t>Google_Ads</t>
        </is>
      </c>
      <c r="C14" s="6" t="n">
        <v>60863.01</v>
      </c>
      <c r="D14" s="6" t="n">
        <v>10053.14</v>
      </c>
      <c r="E14" s="7" t="n">
        <v>547</v>
      </c>
      <c r="F14" s="8" t="inlineStr">
        <is>
          <t>6.05x</t>
        </is>
      </c>
      <c r="G14" s="8" t="inlineStr">
        <is>
          <t>$18.38</t>
        </is>
      </c>
      <c r="H14" s="9" t="n">
        <v>25131.8165</v>
      </c>
      <c r="I14" s="8" t="inlineStr">
        <is>
          <t>ROAS✓ | CPA✓ | Profit✓</t>
        </is>
      </c>
    </row>
    <row r="15">
      <c r="A15" s="7" t="inlineStr">
        <is>
          <t>Holiday_Sale_Prospecting</t>
        </is>
      </c>
      <c r="B15" s="7" t="inlineStr">
        <is>
          <t>Facebook_Ads</t>
        </is>
      </c>
      <c r="C15" s="6" t="n">
        <v>57977.88</v>
      </c>
      <c r="D15" s="6" t="n">
        <v>15485.23</v>
      </c>
      <c r="E15" s="7" t="n">
        <v>629</v>
      </c>
      <c r="F15" s="10" t="inlineStr">
        <is>
          <t>3.74x</t>
        </is>
      </c>
      <c r="G15" s="8" t="inlineStr">
        <is>
          <t>$24.62</t>
        </is>
      </c>
      <c r="H15" s="9" t="n">
        <v>17168.392</v>
      </c>
      <c r="I15" s="10" t="inlineStr">
        <is>
          <t>ROAS✗ | CPA✓ | Profit✓</t>
        </is>
      </c>
    </row>
    <row r="16">
      <c r="A16" s="7" t="inlineStr">
        <is>
          <t>Holiday_Sale_Retargeting</t>
        </is>
      </c>
      <c r="B16" s="7" t="inlineStr">
        <is>
          <t>Facebook_Ads</t>
        </is>
      </c>
      <c r="C16" s="6" t="n">
        <v>83590.39999999999</v>
      </c>
      <c r="D16" s="6" t="n">
        <v>10240.96</v>
      </c>
      <c r="E16" s="7" t="n">
        <v>776</v>
      </c>
      <c r="F16" s="8" t="inlineStr">
        <is>
          <t>8.16x</t>
        </is>
      </c>
      <c r="G16" s="8" t="inlineStr">
        <is>
          <t>$13.20</t>
        </is>
      </c>
      <c r="H16" s="9" t="n">
        <v>37884.8</v>
      </c>
      <c r="I16" s="8" t="inlineStr">
        <is>
          <t>ROAS✓ | CPA✓ | Profit✓</t>
        </is>
      </c>
    </row>
    <row r="17">
      <c r="A17" s="7" t="inlineStr">
        <is>
          <t>Influencer_Collab_Video</t>
        </is>
      </c>
      <c r="B17" s="7" t="inlineStr">
        <is>
          <t>TikTok_Ads</t>
        </is>
      </c>
      <c r="C17" s="6" t="n">
        <v>30850.69</v>
      </c>
      <c r="D17" s="6" t="n">
        <v>21977.11</v>
      </c>
      <c r="E17" s="7" t="n">
        <v>360</v>
      </c>
      <c r="F17" s="10" t="inlineStr">
        <is>
          <t>1.40x</t>
        </is>
      </c>
      <c r="G17" s="10" t="inlineStr">
        <is>
          <t>$61.05</t>
        </is>
      </c>
      <c r="H17" s="11" t="n">
        <v>-4804.1615</v>
      </c>
      <c r="I17" s="10" t="inlineStr">
        <is>
          <t>ROAS✗ | CPA✗ | Profit✗</t>
        </is>
      </c>
    </row>
    <row r="18">
      <c r="A18" s="7" t="inlineStr">
        <is>
          <t>Product_Launch_Awareness</t>
        </is>
      </c>
      <c r="B18" s="7" t="inlineStr">
        <is>
          <t>Facebook_Ads</t>
        </is>
      </c>
      <c r="C18" s="6" t="n">
        <v>23914.47</v>
      </c>
      <c r="D18" s="6" t="n">
        <v>10951.82</v>
      </c>
      <c r="E18" s="7" t="n">
        <v>269</v>
      </c>
      <c r="F18" s="10" t="inlineStr">
        <is>
          <t>2.18x</t>
        </is>
      </c>
      <c r="G18" s="8" t="inlineStr">
        <is>
          <t>$40.71</t>
        </is>
      </c>
      <c r="H18" s="9" t="n">
        <v>2440.585500000001</v>
      </c>
      <c r="I18" s="10" t="inlineStr">
        <is>
          <t>ROAS✗ | CPA✓ | Profit✓</t>
        </is>
      </c>
    </row>
    <row r="19">
      <c r="A19" s="7" t="inlineStr">
        <is>
          <t>Shopping_Campaigns</t>
        </is>
      </c>
      <c r="B19" s="7" t="inlineStr">
        <is>
          <t>Google_Ads</t>
        </is>
      </c>
      <c r="C19" s="6" t="n">
        <v>40209.77</v>
      </c>
      <c r="D19" s="6" t="n">
        <v>12343.46</v>
      </c>
      <c r="E19" s="7" t="n">
        <v>430</v>
      </c>
      <c r="F19" s="10" t="inlineStr">
        <is>
          <t>3.26x</t>
        </is>
      </c>
      <c r="G19" s="8" t="inlineStr">
        <is>
          <t>$28.71</t>
        </is>
      </c>
      <c r="H19" s="9" t="n">
        <v>10352.8905</v>
      </c>
      <c r="I19" s="10" t="inlineStr">
        <is>
          <t>ROAS✗ | CPA✓ | Profit✓</t>
        </is>
      </c>
    </row>
    <row r="20">
      <c r="A20" s="7" t="inlineStr">
        <is>
          <t>UGC_Content_Campaign</t>
        </is>
      </c>
      <c r="B20" s="7" t="inlineStr">
        <is>
          <t>TikTok_Ads</t>
        </is>
      </c>
      <c r="C20" s="6" t="n">
        <v>27597.02</v>
      </c>
      <c r="D20" s="6" t="n">
        <v>16005.86</v>
      </c>
      <c r="E20" s="7" t="n">
        <v>303</v>
      </c>
      <c r="F20" s="10" t="inlineStr">
        <is>
          <t>1.72x</t>
        </is>
      </c>
      <c r="G20" s="10" t="inlineStr">
        <is>
          <t>$52.82</t>
        </is>
      </c>
      <c r="H20" s="11" t="n">
        <v>-491.7970000000005</v>
      </c>
      <c r="I20" s="10" t="inlineStr">
        <is>
          <t>ROAS✗ | CPA✗ | Profit✗</t>
        </is>
      </c>
    </row>
    <row r="21">
      <c r="A21" s="7" t="inlineStr">
        <is>
          <t>Weekly_Newsletter</t>
        </is>
      </c>
      <c r="B21" s="7" t="inlineStr">
        <is>
          <t>Email</t>
        </is>
      </c>
      <c r="C21" s="6" t="n">
        <v>174407.16</v>
      </c>
      <c r="D21" s="6" t="n">
        <v>1676.81</v>
      </c>
      <c r="E21" s="7" t="n">
        <v>1785</v>
      </c>
      <c r="F21" s="8" t="inlineStr">
        <is>
          <t>104.01x</t>
        </is>
      </c>
      <c r="G21" s="8" t="inlineStr">
        <is>
          <t>$0.94</t>
        </is>
      </c>
      <c r="H21" s="9" t="n">
        <v>97407.84400000001</v>
      </c>
      <c r="I21" s="8" t="inlineStr">
        <is>
          <t>ROAS✓ | CPA✓ | Profit✓</t>
        </is>
      </c>
    </row>
    <row r="22"/>
    <row r="23">
      <c r="A23" s="2" t="inlineStr">
        <is>
          <t>Profit Bridge — Where the Money Goes</t>
        </is>
      </c>
    </row>
    <row r="24">
      <c r="A24" s="4" t="inlineStr">
        <is>
          <t>Channel</t>
        </is>
      </c>
      <c r="B24" s="4" t="inlineStr">
        <is>
          <t>Revenue</t>
        </is>
      </c>
      <c r="C24" s="4" t="inlineStr">
        <is>
          <t>− Spend</t>
        </is>
      </c>
      <c r="D24" s="4" t="inlineStr">
        <is>
          <t>− Shipping</t>
        </is>
      </c>
      <c r="E24" s="4" t="inlineStr">
        <is>
          <t>− Product Cost</t>
        </is>
      </c>
      <c r="F24" s="4">
        <f> Net Profit</f>
        <v/>
      </c>
      <c r="G24" s="4" t="inlineStr">
        <is>
          <t>Margin %</t>
        </is>
      </c>
    </row>
    <row r="25">
      <c r="A25" s="5" t="inlineStr">
        <is>
          <t>Email</t>
        </is>
      </c>
      <c r="B25" s="6" t="n">
        <v>237630.53</v>
      </c>
      <c r="C25" s="6" t="n">
        <v>1836.76</v>
      </c>
      <c r="D25" s="6" t="n">
        <v>18680</v>
      </c>
      <c r="E25" s="6" t="n">
        <v>83170.68549999999</v>
      </c>
      <c r="F25" s="9" t="n">
        <v>133943.0845</v>
      </c>
      <c r="G25" s="8" t="inlineStr">
        <is>
          <t>56.4%</t>
        </is>
      </c>
    </row>
    <row r="26">
      <c r="A26" s="7" t="inlineStr">
        <is>
          <t>Google_Ads</t>
        </is>
      </c>
      <c r="B26" s="6" t="n">
        <v>170414.87</v>
      </c>
      <c r="C26" s="6" t="n">
        <v>28184.51</v>
      </c>
      <c r="D26" s="6" t="n">
        <v>13208</v>
      </c>
      <c r="E26" s="6" t="n">
        <v>59645.20449999999</v>
      </c>
      <c r="F26" s="9" t="n">
        <v>69377.15549999999</v>
      </c>
      <c r="G26" s="8" t="inlineStr">
        <is>
          <t>40.7%</t>
        </is>
      </c>
    </row>
    <row r="27">
      <c r="A27" s="7" t="inlineStr">
        <is>
          <t>Facebook_Ads</t>
        </is>
      </c>
      <c r="B27" s="6" t="n">
        <v>165482.75</v>
      </c>
      <c r="C27" s="6" t="n">
        <v>36678.01000000001</v>
      </c>
      <c r="D27" s="6" t="n">
        <v>13392</v>
      </c>
      <c r="E27" s="6" t="n">
        <v>57918.96250000001</v>
      </c>
      <c r="F27" s="9" t="n">
        <v>57493.77750000001</v>
      </c>
      <c r="G27" s="8" t="inlineStr">
        <is>
          <t>34.7%</t>
        </is>
      </c>
    </row>
    <row r="28">
      <c r="A28" s="7" t="inlineStr">
        <is>
          <t>TikTok_Ads</t>
        </is>
      </c>
      <c r="B28" s="6" t="n">
        <v>58447.71</v>
      </c>
      <c r="C28" s="6" t="n">
        <v>37982.97</v>
      </c>
      <c r="D28" s="6" t="n">
        <v>5304</v>
      </c>
      <c r="E28" s="6" t="n">
        <v>20456.6985</v>
      </c>
      <c r="F28" s="11" t="n">
        <v>-5295.958500000001</v>
      </c>
      <c r="G28" s="10" t="inlineStr">
        <is>
          <t>-9.1%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2026-07-09T15:01:08Z</dcterms:created>
  <dcterms:modified xsi:type="dcterms:W3CDTF">2026-07-09T15:01:08Z</dcterms:modified>
</cp:coreProperties>
</file>